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3.xml.rels" ContentType="application/vnd.openxmlformats-package.relationships+xml"/>
  <Override PartName="/xl/worksheets/_rels/sheet7.xml.rels" ContentType="application/vnd.openxmlformats-package.relationships+xml"/>
  <Override PartName="/xl/worksheets/_rels/sheet12.xml.rels" ContentType="application/vnd.openxmlformats-package.relationships+xml"/>
  <Override PartName="/xl/worksheets/_rels/sheet4.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3.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1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1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Content_Calendar" sheetId="2" state="visible" r:id="rId4"/>
    <sheet name="Keyword_Map" sheetId="3" state="visible" r:id="rId5"/>
    <sheet name="Hub_Pages" sheetId="4" state="visible" r:id="rId6"/>
    <sheet name="Products_Data" sheetId="5" state="visible" r:id="rId7"/>
    <sheet name="Tech_Pages" sheetId="6" state="visible" r:id="rId8"/>
    <sheet name="Tech_Absorption" sheetId="7" state="visible" r:id="rId9"/>
    <sheet name="Finishes" sheetId="8" state="visible" r:id="rId10"/>
    <sheet name="Fire_Tests" sheetId="9" state="visible" r:id="rId11"/>
    <sheet name="Installation" sheetId="10" state="visible" r:id="rId12"/>
    <sheet name="Spec_Clauses" sheetId="11" state="visible" r:id="rId13"/>
    <sheet name="Case_Studies" sheetId="12" state="visible" r:id="rId14"/>
    <sheet name="Application_Pages" sheetId="13" state="visible" r:id="rId15"/>
    <sheet name="Blog_Posts" sheetId="14" state="visible" r:id="rId16"/>
    <sheet name="Booth_Guide" sheetId="15" state="visible" r:id="rId17"/>
    <sheet name="FAQ" sheetId="16" state="visible" r:id="rId18"/>
    <sheet name="Testimonials" sheetId="17" state="visible" r:id="rId19"/>
    <sheet name="Dealers_Showrooms" sheetId="18" state="visible" r:id="rId20"/>
    <sheet name="Listings_Links" sheetId="19" state="visible" r:id="rId21"/>
    <sheet name="Images_Assets" sheetId="20" state="visible" r:id="rId22"/>
    <sheet name="Translation_Tracker" sheetId="21" state="visible" r:id="rId23"/>
  </sheets>
  <definedNames>
    <definedName function="false" hidden="true" localSheetId="12" name="_xlnm._FilterDatabase" vbProcedure="false">Application_Pages!$A$1:$AB$33</definedName>
    <definedName function="false" hidden="true" localSheetId="13" name="_xlnm._FilterDatabase" vbProcedure="false">Blog_Posts!$A$1:$W$51</definedName>
    <definedName function="false" hidden="true" localSheetId="14" name="_xlnm._FilterDatabase" vbProcedure="false">Booth_Guide!$A$1:$AP$14</definedName>
    <definedName function="false" hidden="true" localSheetId="11" name="_xlnm._FilterDatabase" vbProcedure="false">Case_Studies!$A$1:$AD$33</definedName>
    <definedName function="false" hidden="true" localSheetId="1" name="_xlnm._FilterDatabase" vbProcedure="false">Content_Calendar!$A$1:$O$60</definedName>
    <definedName function="false" hidden="true" localSheetId="17" name="_xlnm._FilterDatabase" vbProcedure="false">Dealers_Showrooms!$A$1:$Q$34</definedName>
    <definedName function="false" hidden="true" localSheetId="15" name="_xlnm._FilterDatabase" vbProcedure="false">FAQ!$A$1:$I$79</definedName>
    <definedName function="false" hidden="true" localSheetId="7" name="_xlnm._FilterDatabase" vbProcedure="false">Finishes!$A$1:$N$68</definedName>
    <definedName function="false" hidden="true" localSheetId="8" name="_xlnm._FilterDatabase" vbProcedure="false">Fire_Tests!$A$1:$K$26</definedName>
    <definedName function="false" hidden="true" localSheetId="3" name="_xlnm._FilterDatabase" vbProcedure="false">Hub_Pages!$A$1:$AD$39</definedName>
    <definedName function="false" hidden="true" localSheetId="19" name="_xlnm._FilterDatabase" vbProcedure="false">Images_Assets!$A$1:$M$83</definedName>
    <definedName function="false" hidden="true" localSheetId="9" name="_xlnm._FilterDatabase" vbProcedure="false">Installation!$A$1:$Q$33</definedName>
    <definedName function="false" hidden="true" localSheetId="2" name="_xlnm._FilterDatabase" vbProcedure="false">Keyword_Map!$A$1:$M$103</definedName>
    <definedName function="false" hidden="true" localSheetId="18" name="_xlnm._FilterDatabase" vbProcedure="false">Listings_Links!$A$1:$L$34</definedName>
    <definedName function="false" hidden="true" localSheetId="4" name="_xlnm._FilterDatabase" vbProcedure="false">Products_Data!$A$1:$AM$22</definedName>
    <definedName function="false" hidden="true" localSheetId="10" name="_xlnm._FilterDatabase" vbProcedure="false">Spec_Clauses!$A$1:$H$33</definedName>
    <definedName function="false" hidden="true" localSheetId="6" name="_xlnm._FilterDatabase" vbProcedure="false">Tech_Absorption!$A$1:$S$33</definedName>
    <definedName function="false" hidden="true" localSheetId="5" name="_xlnm._FilterDatabase" vbProcedure="false">Tech_Pages!$A$1:$Q$51</definedName>
    <definedName function="false" hidden="true" localSheetId="16" name="_xlnm._FilterDatabase" vbProcedure="false">Testimonials!$A$1:$N$43</definedName>
    <definedName function="false" hidden="true" localSheetId="20" name="_xlnm._FilterDatabase" vbProcedure="false">Translation_Tracker!$A$1:$N$61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<sst xmlns="http://schemas.openxmlformats.org/spreadsheetml/2006/main" count="2699" uniqueCount="1371">
  <si>
    <t xml:space="preserve">Re-Sound content data templates</t>
  </si>
  <si>
    <t xml:space="preserve">Purpose</t>
  </si>
  <si>
    <t xml:space="preserve">One sheet per page type. Fill the yellow cells; every column has a help line (row 2) and a realistic example (row 3, grey italic — replace or delete it). Pre-filled black cells come from the 6 Sep 2026 audit of re-sound.be. Blue text = your input. Formula cells (ISO class, NRC, word counts, dashboard) recalculate automatically.</t>
  </si>
  <si>
    <t xml:space="preserve">How it is used</t>
  </si>
  <si>
    <t xml:space="preserve">Each sheet maps 1:1 to a page template in the Content Playbook (block numbers in the playbook = column groups here). When a row reaches status 'Ready for dev', hand the file to Claude Code: 'Read content-data-templates.xlsx sheet Case_Studies, row 7, and create the page from the case-study template'.</t>
  </si>
  <si>
    <t xml:space="preserve">Languages</t>
  </si>
  <si>
    <t xml:space="preserve">Write the source in ONE language per row (usually EN or NL) and mark the Locale column. Translations get their own row per locale or go through Translation_Tracker. SEO locales: en, nl, fr, de, es, pt. da/sv/no/is are noindex until complete.</t>
  </si>
  <si>
    <t xml:space="preserve">Limits</t>
  </si>
  <si>
    <t xml:space="preserve">Title ≤ 65 characters · meta description ≤ 155 · H1 ≤ 70 · intro 120–180 words · case-study body 350–600 words · blog post 900–1 500 words · FAQ answer ≤ 80 words · alt text ≤ 125 characters, no emoji.</t>
  </si>
  <si>
    <t xml:space="preserve">Facts policy</t>
  </si>
  <si>
    <t xml:space="preserve">Never write a certification, measured value, price or client name that is not confirmed. Leave the cell empty and add a note — an empty cell ships as 'ask us', a wrong one ships as a claim.</t>
  </si>
  <si>
    <t xml:space="preserve">Sheets</t>
  </si>
  <si>
    <t xml:space="preserve">Content_Calendar (master list + dashboard) · Keyword_Map (27 tracked queries + your additions) · Hub_Pages · Products_Data · Tech_Pages · Tech_Absorption · Finishes · Fire_Tests · Installation · Spec_Clauses · Case_Studies · Application_Pages · Blog_Posts · Booth_Guide · FAQ · Testimonials · Dealers_Showrooms · Listings_Links · Images_Assets · Translation_Tracker</t>
  </si>
  <si>
    <t xml:space="preserve">Legend</t>
  </si>
  <si>
    <t xml:space="preserve">Dark header = column name · grey row 2 = help · grey italic row 3 = example · yellow = fill in · black = pre-filled from the audit · formulas in black.</t>
  </si>
  <si>
    <t xml:space="preserve">Source</t>
  </si>
  <si>
    <t xml:space="preserve">Audit of re-sound.be, 6 Sep 2026 (Content Playbook + Site Audit in the Re-Sound Claude project).</t>
  </si>
  <si>
    <t xml:space="preserve">ID</t>
  </si>
  <si>
    <t xml:space="preserve">Page type</t>
  </si>
  <si>
    <t xml:space="preserve">Working title</t>
  </si>
  <si>
    <t xml:space="preserve">Range</t>
  </si>
  <si>
    <t xml:space="preserve">Locale(s)</t>
  </si>
  <si>
    <t xml:space="preserve">Target keyword</t>
  </si>
  <si>
    <t xml:space="preserve">Target URL (planned)</t>
  </si>
  <si>
    <t xml:space="preserve">Phase</t>
  </si>
  <si>
    <t xml:space="preserve">Priority</t>
  </si>
  <si>
    <t xml:space="preserve">Owner</t>
  </si>
  <si>
    <t xml:space="preserve">Status</t>
  </si>
  <si>
    <t xml:space="preserve">Due date</t>
  </si>
  <si>
    <t xml:space="preserve">Published date</t>
  </si>
  <si>
    <t xml:space="preserve">Brief / data sheet row</t>
  </si>
  <si>
    <t xml:space="preserve">Notes</t>
  </si>
  <si>
    <t xml:space="preserve">Dashboard</t>
  </si>
  <si>
    <t xml:space="preserve">Count</t>
  </si>
  <si>
    <t xml:space="preserve">CC-001 …</t>
  </si>
  <si>
    <t xml:space="preserve">Pick from list</t>
  </si>
  <si>
    <t xml:space="preserve">Human name of the page</t>
  </si>
  <si>
    <t xml:space="preserve">e.g. en,nl,fr,de</t>
  </si>
  <si>
    <t xml:space="preserve">Primary keyword from Keyword_Map</t>
  </si>
  <si>
    <t xml:space="preserve">Path on re-sound.be</t>
  </si>
  <si>
    <t xml:space="preserve">P1 = weeks 2–6, P2 = months 2–4</t>
  </si>
  <si>
    <t xml:space="preserve">1 = do first</t>
  </si>
  <si>
    <t xml:space="preserve">Person</t>
  </si>
  <si>
    <t xml:space="preserve">yyyy-mm-dd</t>
  </si>
  <si>
    <t xml:space="preserve">Sheet + row where the content lives</t>
  </si>
  <si>
    <t xml:space="preserve">Anything the dev/translator must know</t>
  </si>
  <si>
    <t xml:space="preserve">Backlog</t>
  </si>
  <si>
    <t xml:space="preserve">CC-001</t>
  </si>
  <si>
    <t xml:space="preserve">Hub page</t>
  </si>
  <si>
    <t xml:space="preserve">PET acoustic panels hub</t>
  </si>
  <si>
    <t xml:space="preserve">rPET</t>
  </si>
  <si>
    <t xml:space="preserve">en,nl,fr,de</t>
  </si>
  <si>
    <t xml:space="preserve">pet akoestische panelen</t>
  </si>
  <si>
    <t xml:space="preserve">/nl/products/pet-akoestische-panelen</t>
  </si>
  <si>
    <t xml:space="preserve">P1</t>
  </si>
  <si>
    <t xml:space="preserve">Michael</t>
  </si>
  <si>
    <t xml:space="preserve">Drafting</t>
  </si>
  <si>
    <t xml:space="preserve">2026-09-19</t>
  </si>
  <si>
    <t xml:space="preserve">Hub_Pages rows 4–7</t>
  </si>
  <si>
    <t xml:space="preserve">Comparison table pulls from Products_Data</t>
  </si>
  <si>
    <t xml:space="preserve">Briefed</t>
  </si>
  <si>
    <t xml:space="preserve">CC-002</t>
  </si>
  <si>
    <t xml:space="preserve">Wood acoustic panels hub</t>
  </si>
  <si>
    <t xml:space="preserve">rWood</t>
  </si>
  <si>
    <t xml:space="preserve">houten akoestische panelen</t>
  </si>
  <si>
    <t xml:space="preserve">/nl/products/houten-akoestische-panelen</t>
  </si>
  <si>
    <t xml:space="preserve">Hub_Pages</t>
  </si>
  <si>
    <t xml:space="preserve">CC-003</t>
  </si>
  <si>
    <t xml:space="preserve">Acoustic phone booths hub</t>
  </si>
  <si>
    <t xml:space="preserve">Booths</t>
  </si>
  <si>
    <t xml:space="preserve">belcabine kantoor</t>
  </si>
  <si>
    <t xml:space="preserve">/nl/products/akoestische-belcabines</t>
  </si>
  <si>
    <t xml:space="preserve">Review</t>
  </si>
  <si>
    <t xml:space="preserve">CC-004</t>
  </si>
  <si>
    <t xml:space="preserve">Product page</t>
  </si>
  <si>
    <t xml:space="preserve">Complete product data (13 products)</t>
  </si>
  <si>
    <t xml:space="preserve">General</t>
  </si>
  <si>
    <t xml:space="preserve">en</t>
  </si>
  <si>
    <t xml:space="preserve">—</t>
  </si>
  <si>
    <t xml:space="preserve">/products/*</t>
  </si>
  <si>
    <t xml:space="preserve">Products_Data</t>
  </si>
  <si>
    <t xml:space="preserve">Prices, made-in, recycled %, ISO values, documents</t>
  </si>
  <si>
    <t xml:space="preserve">Translation</t>
  </si>
  <si>
    <t xml:space="preserve">CC-005</t>
  </si>
  <si>
    <t xml:space="preserve">Technical page</t>
  </si>
  <si>
    <t xml:space="preserve">rPET technical pages (6 sub-pages)</t>
  </si>
  <si>
    <t xml:space="preserve">pet acoustic panel datasheet</t>
  </si>
  <si>
    <t xml:space="preserve">/technical/rpet/*</t>
  </si>
  <si>
    <t xml:space="preserve">Tech_Pages + Tech_Absorption + Finishes + Fire_Tests</t>
  </si>
  <si>
    <t xml:space="preserve">Ready for dev</t>
  </si>
  <si>
    <t xml:space="preserve">CC-006</t>
  </si>
  <si>
    <t xml:space="preserve">rWood technical pages (6 sub-pages)</t>
  </si>
  <si>
    <t xml:space="preserve">microperforated acoustic panel specification</t>
  </si>
  <si>
    <t xml:space="preserve">/technical/rwood/*</t>
  </si>
  <si>
    <t xml:space="preserve">Tech_Pages</t>
  </si>
  <si>
    <t xml:space="preserve">Live</t>
  </si>
  <si>
    <t xml:space="preserve">CC-007</t>
  </si>
  <si>
    <t xml:space="preserve">Booth technical pages</t>
  </si>
  <si>
    <t xml:space="preserve">phone booth ISO 23351-1</t>
  </si>
  <si>
    <t xml:space="preserve">/technical/booths/*</t>
  </si>
  <si>
    <t xml:space="preserve">Tech_Pages + Booth_Guide</t>
  </si>
  <si>
    <t xml:space="preserve">On hold</t>
  </si>
  <si>
    <t xml:space="preserve">CC-008</t>
  </si>
  <si>
    <t xml:space="preserve">Booth price guide</t>
  </si>
  <si>
    <t xml:space="preserve">Office phone booth: prices &amp; ISO classes 2026</t>
  </si>
  <si>
    <t xml:space="preserve">phone box bureau prix</t>
  </si>
  <si>
    <t xml:space="preserve">/guides/phone-booth-prices</t>
  </si>
  <si>
    <t xml:space="preserve">Booth_Guide</t>
  </si>
  <si>
    <t xml:space="preserve">Model of Work With Island's 'guide et prix' page</t>
  </si>
  <si>
    <t xml:space="preserve">CC-009</t>
  </si>
  <si>
    <t xml:space="preserve">Case study</t>
  </si>
  <si>
    <t xml:space="preserve">Case study 1 (office, BE)</t>
  </si>
  <si>
    <t xml:space="preserve">en,nl,fr</t>
  </si>
  <si>
    <t xml:space="preserve">/projects/&lt;slug&gt;</t>
  </si>
  <si>
    <t xml:space="preserve">Case_Studies</t>
  </si>
  <si>
    <t xml:space="preserve">5 case studies in P1, then 2 per month</t>
  </si>
  <si>
    <t xml:space="preserve">CC-010</t>
  </si>
  <si>
    <t xml:space="preserve">FAQ</t>
  </si>
  <si>
    <t xml:space="preserve">Booth FAQ (10 questions) + 5 per range</t>
  </si>
  <si>
    <t xml:space="preserve">/faq + product pages</t>
  </si>
  <si>
    <t xml:space="preserve">Michael answered FAQ-002…017 in EN (source of truth); to be edited + translated by Claude Code</t>
  </si>
  <si>
    <t xml:space="preserve">CC-011</t>
  </si>
  <si>
    <t xml:space="preserve">Dealer/showroom</t>
  </si>
  <si>
    <t xml:space="preserve">Partner showroom list (NL · DE · FR)</t>
  </si>
  <si>
    <t xml:space="preserve">re-sound dealer</t>
  </si>
  <si>
    <t xml:space="preserve">/dealers</t>
  </si>
  <si>
    <t xml:space="preserve">Dealers_Showrooms</t>
  </si>
  <si>
    <t xml:space="preserve">Goes live when the first partner signs</t>
  </si>
  <si>
    <t xml:space="preserve">CC-012</t>
  </si>
  <si>
    <t xml:space="preserve">Application page</t>
  </si>
  <si>
    <t xml:space="preserve">Office acoustics</t>
  </si>
  <si>
    <t xml:space="preserve">akoestiek kantoor verbeteren</t>
  </si>
  <si>
    <t xml:space="preserve">/applications/office</t>
  </si>
  <si>
    <t xml:space="preserve">P2</t>
  </si>
  <si>
    <t xml:space="preserve">Application_Pages</t>
  </si>
  <si>
    <t xml:space="preserve">CC-013</t>
  </si>
  <si>
    <t xml:space="preserve">Education</t>
  </si>
  <si>
    <t xml:space="preserve">akoestiek klaslokaal</t>
  </si>
  <si>
    <t xml:space="preserve">/applications/education</t>
  </si>
  <si>
    <t xml:space="preserve">CC-014</t>
  </si>
  <si>
    <t xml:space="preserve">Healthcare</t>
  </si>
  <si>
    <t xml:space="preserve">akoestiek zorginstelling</t>
  </si>
  <si>
    <t xml:space="preserve">/applications/healthcare</t>
  </si>
  <si>
    <t xml:space="preserve">Blog post</t>
  </si>
  <si>
    <t xml:space="preserve">CC-015</t>
  </si>
  <si>
    <t xml:space="preserve">Hospitality &amp; restaurants</t>
  </si>
  <si>
    <t xml:space="preserve">akoestische panelen restaurant</t>
  </si>
  <si>
    <t xml:space="preserve">/applications/hospitality</t>
  </si>
  <si>
    <t xml:space="preserve">CC-016</t>
  </si>
  <si>
    <t xml:space="preserve">Home</t>
  </si>
  <si>
    <t xml:space="preserve">akoestische panelen woonkamer</t>
  </si>
  <si>
    <t xml:space="preserve">/applications/home</t>
  </si>
  <si>
    <t xml:space="preserve">CC-017</t>
  </si>
  <si>
    <t xml:space="preserve">Blog programme — 2 posts / month / core market</t>
  </si>
  <si>
    <t xml:space="preserve">nl,fr,de,en</t>
  </si>
  <si>
    <t xml:space="preserve">/blog/&lt;slug&gt;</t>
  </si>
  <si>
    <t xml:space="preserve">Blog_Posts</t>
  </si>
  <si>
    <t xml:space="preserve">BP-001–006 (NL) written, bodies in Blog_Posts; BP-007–018 (FR/DE/EN) briefed for Claude Code</t>
  </si>
  <si>
    <t xml:space="preserve">CC-018</t>
  </si>
  <si>
    <t xml:space="preserve">Listing</t>
  </si>
  <si>
    <t xml:space="preserve">Directory &amp; BIM listings</t>
  </si>
  <si>
    <t xml:space="preserve">external</t>
  </si>
  <si>
    <t xml:space="preserve">Listings_Links</t>
  </si>
  <si>
    <t xml:space="preserve">P0 items</t>
  </si>
  <si>
    <t xml:space="preserve">P1 items</t>
  </si>
  <si>
    <t xml:space="preserve">P2 items</t>
  </si>
  <si>
    <t xml:space="preserve">Live pages</t>
  </si>
  <si>
    <t xml:space="preserve">Keyword</t>
  </si>
  <si>
    <t xml:space="preserve">Language</t>
  </si>
  <si>
    <t xml:space="preserve">Market (gl)</t>
  </si>
  <si>
    <t xml:space="preserve">Intent</t>
  </si>
  <si>
    <t xml:space="preserve">Page type to rank</t>
  </si>
  <si>
    <t xml:space="preserve">Target URL</t>
  </si>
  <si>
    <t xml:space="preserve">Re-Sound position 6 Sep 2026</t>
  </si>
  <si>
    <t xml:space="preserve">Top 3 competitors 6 Sep 2026</t>
  </si>
  <si>
    <t xml:space="preserve">Monthly volume (fill from GSC/Ads)</t>
  </si>
  <si>
    <t xml:space="preserve">Current position (update monthly)</t>
  </si>
  <si>
    <t xml:space="preserve">Queries tracked</t>
  </si>
  <si>
    <t xml:space="preserve">Exact query</t>
  </si>
  <si>
    <t xml:space="preserve">en/nl/fr/de/es/pt…</t>
  </si>
  <si>
    <t xml:space="preserve">be / nl / fr / de / gb…</t>
  </si>
  <si>
    <t xml:space="preserve">buy / compare / learn / manufacturer</t>
  </si>
  <si>
    <t xml:space="preserve">Pick</t>
  </si>
  <si>
    <t xml:space="preserve">Which page should rank</t>
  </si>
  <si>
    <t xml:space="preserve">Path</t>
  </si>
  <si>
    <t xml:space="preserve">1–3</t>
  </si>
  <si>
    <t xml:space="preserve">From the audit (— = not in top 10)</t>
  </si>
  <si>
    <t xml:space="preserve">From the audit</t>
  </si>
  <si>
    <t xml:space="preserve">Number</t>
  </si>
  <si>
    <t xml:space="preserve">Vocabulary notes</t>
  </si>
  <si>
    <t xml:space="preserve">Not in top 10 (—)</t>
  </si>
  <si>
    <t xml:space="preserve">akoestische panelen kantoor</t>
  </si>
  <si>
    <t xml:space="preserve">nl</t>
  </si>
  <si>
    <t xml:space="preserve">be</t>
  </si>
  <si>
    <t xml:space="preserve">learn</t>
  </si>
  <si>
    <t xml:space="preserve">/nl/applications/office</t>
  </si>
  <si>
    <t xml:space="preserve">(add from your own check)</t>
  </si>
  <si>
    <t xml:space="preserve">Application page keyword</t>
  </si>
  <si>
    <t xml:space="preserve">Not yet measured</t>
  </si>
  <si>
    <t xml:space="preserve">buy</t>
  </si>
  <si>
    <t xml:space="preserve">easy-noisecontrol.be · viltstore.be · easyfelt.be</t>
  </si>
  <si>
    <t xml:space="preserve">akoestische pet panelen</t>
  </si>
  <si>
    <t xml:space="preserve">pet vilt akoestische panelen</t>
  </si>
  <si>
    <t xml:space="preserve">easy-noisecontrol.be · easyfelt.be · viltstore.be</t>
  </si>
  <si>
    <t xml:space="preserve">woodupp.be · akuwoodpanel.be · dehoutexpert.be</t>
  </si>
  <si>
    <t xml:space="preserve">akoestische houtpanelen</t>
  </si>
  <si>
    <t xml:space="preserve">woodupp.be · dehoutexpert.be · akuwoodpanel.be</t>
  </si>
  <si>
    <t xml:space="preserve">microgeperforeerde akoestische panelen</t>
  </si>
  <si>
    <t xml:space="preserve">compare</t>
  </si>
  <si>
    <t xml:space="preserve">Product page (rWood Micro)</t>
  </si>
  <si>
    <t xml:space="preserve">/nl/products/rwood-micro</t>
  </si>
  <si>
    <t xml:space="preserve">matude.nl · triplacoustics.be · finaspan.be</t>
  </si>
  <si>
    <t xml:space="preserve">akoestische panelen fineer</t>
  </si>
  <si>
    <t xml:space="preserve">Product page (rWood Panel)</t>
  </si>
  <si>
    <t xml:space="preserve">/nl/products/rwood-veneer</t>
  </si>
  <si>
    <t xml:space="preserve">woodupp.be · dehoutexpert.be · petac.be</t>
  </si>
  <si>
    <t xml:space="preserve">albeka.nl · meinema.nl · eurodesk.nl</t>
  </si>
  <si>
    <t xml:space="preserve">telefooncabine kantoor</t>
  </si>
  <si>
    <t xml:space="preserve">topregal.be · brandnewoffice.be · mikomax.nl</t>
  </si>
  <si>
    <t xml:space="preserve">akoestische telefooncel</t>
  </si>
  <si>
    <t xml:space="preserve">Product page (Solo Flex)</t>
  </si>
  <si>
    <t xml:space="preserve">/nl/products/solo-flex</t>
  </si>
  <si>
    <t xml:space="preserve">topregal.be · mijnkantoorinrichting.nl · moonenimportexport.nl</t>
  </si>
  <si>
    <t xml:space="preserve">akoestische cabine kantoor</t>
  </si>
  <si>
    <t xml:space="preserve">brandnewoffice.be · manutan.be · havic-kantoormeubelen.be</t>
  </si>
  <si>
    <t xml:space="preserve">fabrikant akoestische panelen</t>
  </si>
  <si>
    <t xml:space="preserve">manufacturer</t>
  </si>
  <si>
    <t xml:space="preserve">Homepage / About</t>
  </si>
  <si>
    <t xml:space="preserve">/nl</t>
  </si>
  <si>
    <t xml:space="preserve">woodupp.be · kronospan.com · akoestiekwinkel.be</t>
  </si>
  <si>
    <t xml:space="preserve">producent akoestische panelen belgië</t>
  </si>
  <si>
    <t xml:space="preserve">woodupp.be · akuwoodpanel.be · akoestiekwinkel.be</t>
  </si>
  <si>
    <t xml:space="preserve">tacito.nl · viltstore.com · easy-noisecontrol.nl</t>
  </si>
  <si>
    <t xml:space="preserve">woodupp.nl · akupanel-outlet.nl · hornbach.nl</t>
  </si>
  <si>
    <t xml:space="preserve">mq-acoustics.com · matude.nl · gewoongers.nl</t>
  </si>
  <si>
    <t xml:space="preserve">belcel kantoor</t>
  </si>
  <si>
    <t xml:space="preserve">albeka.nl · youngofficeinteriors.nl · deprojectinrichter.com</t>
  </si>
  <si>
    <t xml:space="preserve">euro-rotor.nl · designonlinemeubels.nl · outletkantoormeubels.nl</t>
  </si>
  <si>
    <t xml:space="preserve">woodupp.nl · meinema.nl · akoestiekwinkel.nl</t>
  </si>
  <si>
    <t xml:space="preserve">panneaux acoustiques pet</t>
  </si>
  <si>
    <t xml:space="preserve">fr</t>
  </si>
  <si>
    <t xml:space="preserve">/fr/products/panneaux-acoustiques-pet</t>
  </si>
  <si>
    <t xml:space="preserve">easyfelt.be · easy-noisecontrol.be · knauf.com</t>
  </si>
  <si>
    <t xml:space="preserve">panneaux acoustiques en bois</t>
  </si>
  <si>
    <t xml:space="preserve">/fr/products/panneaux-acoustiques-bois</t>
  </si>
  <si>
    <t xml:space="preserve">brico.be · woodupp.be · fr.dehoutexpert.be</t>
  </si>
  <si>
    <t xml:space="preserve">panneaux acoustiques microperforés</t>
  </si>
  <si>
    <t xml:space="preserve">/fr/products/rwood-micro</t>
  </si>
  <si>
    <t xml:space="preserve">decustik.com · ober-surfaces.com · pytaudio.com</t>
  </si>
  <si>
    <t xml:space="preserve">panneaux acoustiques placage bois</t>
  </si>
  <si>
    <t xml:space="preserve">/fr/products/rwood-veneer</t>
  </si>
  <si>
    <t xml:space="preserve">fr.dehoutexpert.be · woodupp.be · brico.be</t>
  </si>
  <si>
    <t xml:space="preserve">cabine acoustique bureau</t>
  </si>
  <si>
    <t xml:space="preserve">/fr/products/cabines-acoustiques</t>
  </si>
  <si>
    <t xml:space="preserve">brandnewoffice.be · wooh.be · burama.be</t>
  </si>
  <si>
    <t xml:space="preserve">cabine téléphonique bureau</t>
  </si>
  <si>
    <t xml:space="preserve">brandnewoffice.be · topregal.be · burama.be</t>
  </si>
  <si>
    <t xml:space="preserve">phone box acoustique</t>
  </si>
  <si>
    <t xml:space="preserve">/fr/guides/prix-cabine-acoustique</t>
  </si>
  <si>
    <t xml:space="preserve">brandnewoffice.be · cekabelgium.be · buror-design.be</t>
  </si>
  <si>
    <t xml:space="preserve">fabricant panneaux acoustiques</t>
  </si>
  <si>
    <t xml:space="preserve">/fr</t>
  </si>
  <si>
    <t xml:space="preserve">woodupp.be · fr.rockfon.be · vortex-panels.be</t>
  </si>
  <si>
    <t xml:space="preserve">pet acoustic panels</t>
  </si>
  <si>
    <t xml:space="preserve">gb</t>
  </si>
  <si>
    <t xml:space="preserve">/en/products/pet-acoustic-panels</t>
  </si>
  <si>
    <t xml:space="preserve">not measured</t>
  </si>
  <si>
    <t xml:space="preserve">(Google blocked — measure)</t>
  </si>
  <si>
    <t xml:space="preserve">wood acoustic panels</t>
  </si>
  <si>
    <t xml:space="preserve">/en/products/wood-acoustic-panels</t>
  </si>
  <si>
    <t xml:space="preserve">microperforated acoustic panels</t>
  </si>
  <si>
    <t xml:space="preserve">/en/products/rwood-micro</t>
  </si>
  <si>
    <t xml:space="preserve">veneer acoustic panels</t>
  </si>
  <si>
    <t xml:space="preserve">/en/products/rwood-veneer</t>
  </si>
  <si>
    <t xml:space="preserve">office phone booth</t>
  </si>
  <si>
    <t xml:space="preserve">/en/products/acoustic-phone-booths</t>
  </si>
  <si>
    <t xml:space="preserve">acoustic phone booth</t>
  </si>
  <si>
    <t xml:space="preserve">office privacy pods</t>
  </si>
  <si>
    <t xml:space="preserve">pet akustikpaneele</t>
  </si>
  <si>
    <t xml:space="preserve">de</t>
  </si>
  <si>
    <t xml:space="preserve">/de/products/pet-akustikpaneele</t>
  </si>
  <si>
    <t xml:space="preserve">holz akustikpaneele</t>
  </si>
  <si>
    <t xml:space="preserve">/de/products/holz-akustikpaneele</t>
  </si>
  <si>
    <t xml:space="preserve">mikroperforierte akustikplatten</t>
  </si>
  <si>
    <t xml:space="preserve">/de/products/rwood-micro</t>
  </si>
  <si>
    <t xml:space="preserve">telefonbox büro</t>
  </si>
  <si>
    <t xml:space="preserve">/de/products/telefonboxen</t>
  </si>
  <si>
    <t xml:space="preserve">akustikkabine büro</t>
  </si>
  <si>
    <t xml:space="preserve">akustikpaneele hersteller</t>
  </si>
  <si>
    <t xml:space="preserve">/de</t>
  </si>
  <si>
    <t xml:space="preserve">Locale</t>
  </si>
  <si>
    <t xml:space="preserve">Slug</t>
  </si>
  <si>
    <t xml:space="preserve">Title tag (≤65)</t>
  </si>
  <si>
    <t xml:space="preserve">Meta description (≤155)</t>
  </si>
  <si>
    <t xml:space="preserve">H1</t>
  </si>
  <si>
    <t xml:space="preserve">Intro (120–180 words)</t>
  </si>
  <si>
    <t xml:space="preserve">Manufacturer sentence</t>
  </si>
  <si>
    <t xml:space="preserve">Why Re-Sound 1</t>
  </si>
  <si>
    <t xml:space="preserve">Why Re-Sound 2</t>
  </si>
  <si>
    <t xml:space="preserve">Why Re-Sound 3</t>
  </si>
  <si>
    <t xml:space="preserve">Why Re-Sound 4</t>
  </si>
  <si>
    <t xml:space="preserve">Applications (comma list)</t>
  </si>
  <si>
    <t xml:space="preserve">FAQ Q1</t>
  </si>
  <si>
    <t xml:space="preserve">FAQ A1</t>
  </si>
  <si>
    <t xml:space="preserve">FAQ Q2</t>
  </si>
  <si>
    <t xml:space="preserve">FAQ A2</t>
  </si>
  <si>
    <t xml:space="preserve">FAQ Q3</t>
  </si>
  <si>
    <t xml:space="preserve">FAQ A3</t>
  </si>
  <si>
    <t xml:space="preserve">FAQ Q4</t>
  </si>
  <si>
    <t xml:space="preserve">FAQ A4</t>
  </si>
  <si>
    <t xml:space="preserve">FAQ Q5</t>
  </si>
  <si>
    <t xml:space="preserve">FAQ A5</t>
  </si>
  <si>
    <t xml:space="preserve">CTA primary</t>
  </si>
  <si>
    <t xml:space="preserve">CTA secondary</t>
  </si>
  <si>
    <t xml:space="preserve">OG image file</t>
  </si>
  <si>
    <t xml:space="preserve">Intro word count</t>
  </si>
  <si>
    <t xml:space="preserve">Title length</t>
  </si>
  <si>
    <t xml:space="preserve">Meta length</t>
  </si>
  <si>
    <t xml:space="preserve">rPET / rWood / Booths</t>
  </si>
  <si>
    <t xml:space="preserve">One row per locale</t>
  </si>
  <si>
    <t xml:space="preserve">Localised slug</t>
  </si>
  <si>
    <t xml:space="preserve">Head term before brand</t>
  </si>
  <si>
    <t xml:space="preserve">Hook + proof + CTA</t>
  </si>
  <si>
    <t xml:space="preserve">Head term + model names</t>
  </si>
  <si>
    <t xml:space="preserve">Head term twice, manufacturer sentence once</t>
  </si>
  <si>
    <t xml:space="preserve">Reused everywhere; keep identical</t>
  </si>
  <si>
    <t xml:space="preserve">Own factories</t>
  </si>
  <si>
    <t xml:space="preserve">Take-back / circularity</t>
  </si>
  <si>
    <t xml:space="preserve">Certifications only if in Products_Data</t>
  </si>
  <si>
    <t xml:space="preserve">Service (samples, demo, lead time)</t>
  </si>
  <si>
    <t xml:space="preserve">Sectors from Application_Pages</t>
  </si>
  <si>
    <t xml:space="preserve">Use market vocabulary</t>
  </si>
  <si>
    <t xml:space="preserve">≤ 80 words</t>
  </si>
  <si>
    <t xml:space="preserve">e.g. Request the free sample kit</t>
  </si>
  <si>
    <t xml:space="preserve">e.g. Get a quote</t>
  </si>
  <si>
    <t xml:space="preserve">png in /public/og/</t>
  </si>
  <si>
    <t xml:space="preserve">formula</t>
  </si>
  <si>
    <t xml:space="preserve">pet-akoestische-panelen</t>
  </si>
  <si>
    <t xml:space="preserve">PET akoestische panelen — fabrikant in België | Re-Sound</t>
  </si>
  <si>
    <t xml:space="preserve">PET akoestische panelen uit 100% gerecycleerd PET, in 12–16 kleuren en 3 diktes. Gemaakt in eigen fabriek. Gratis stalenpakket binnen 3 werkdagen.</t>
  </si>
  <si>
    <t xml:space="preserve">PET akoestische panelen: rPET Panel, Groove en Flex Groove</t>
  </si>
  <si>
    <t xml:space="preserve">(120–180 woorden — begin met het zoekwoord, noem de drie modellen, de fabrikantzin, en waarvoor ze dienen)</t>
  </si>
  <si>
    <t xml:space="preserve">Re-Sound is een merk van Stretch Group. We produceren in onze eigen fabrieken in Beveren-Waas (België) en Częstochowa (Polen).</t>
  </si>
  <si>
    <t xml:space="preserve">Eigen productie, geen tussenhandel</t>
  </si>
  <si>
    <t xml:space="preserve">Gratis terugname aan het einde van de levensduur</t>
  </si>
  <si>
    <t xml:space="preserve">OEKO-TEX® Standard 100 (rPET)</t>
  </si>
  <si>
    <t xml:space="preserve">Stalenpakket binnen 3 werkdagen in de EU</t>
  </si>
  <si>
    <t xml:space="preserve">Kantoor, Onderwijs, Zorg, Horeca</t>
  </si>
  <si>
    <t xml:space="preserve">Wat is een PET akoestisch paneel?</t>
  </si>
  <si>
    <t xml:space="preserve">…</t>
  </si>
  <si>
    <t xml:space="preserve">Hoeveel geluid absorbeert PET-vilt?</t>
  </si>
  <si>
    <t xml:space="preserve">Kan ik PET-panelen zelf zagen en monteren?</t>
  </si>
  <si>
    <t xml:space="preserve">Zijn PET-panelen brandveilig?</t>
  </si>
  <si>
    <t xml:space="preserve">Wat kost een PET akoestisch paneel?</t>
  </si>
  <si>
    <t xml:space="preserve">Vraag het gratis stalenpakket aan</t>
  </si>
  <si>
    <t xml:space="preserve">Vraag een offerte</t>
  </si>
  <si>
    <t xml:space="preserve">og-rpet-nl.png</t>
  </si>
  <si>
    <t xml:space="preserve">pet-acoustic-panels</t>
  </si>
  <si>
    <t xml:space="preserve">Recycled PET Acoustic Panels — Manufacturer, Belgium | Re-Sound</t>
  </si>
  <si>
    <t xml:space="preserve">PET acoustic panels: rPET Panel, Groove and Flex Groove</t>
  </si>
  <si>
    <t xml:space="preserve">panneaux-acoustiques-pet</t>
  </si>
  <si>
    <t xml:space="preserve">Panneaux acoustiques PET recyclé — fabricant belge | Re-Sound</t>
  </si>
  <si>
    <t xml:space="preserve">Panneaux acoustiques PET : rPET Panel, Groove et Flex Groove</t>
  </si>
  <si>
    <t xml:space="preserve">pet-akustikpaneele</t>
  </si>
  <si>
    <t xml:space="preserve">PET-Akustikpaneele aus Recycling-PET — Hersteller | Re-Sound</t>
  </si>
  <si>
    <t xml:space="preserve">PET-Akustikpaneele: rPET Panel, Groove und Flex Groove</t>
  </si>
  <si>
    <t xml:space="preserve">wood-acoustic-panels</t>
  </si>
  <si>
    <t xml:space="preserve">Wood Acoustic Panels — Veneer &amp; Micro-perforated | Re-Sound</t>
  </si>
  <si>
    <t xml:space="preserve">Wood acoustic panels in FSC veneer: grooved, perforated, micro-perforated, smooth</t>
  </si>
  <si>
    <t xml:space="preserve">houten-akoestische-panelen</t>
  </si>
  <si>
    <t xml:space="preserve">Houten akoestische panelen — fineer, microgeperforeerd | Re-Sound</t>
  </si>
  <si>
    <t xml:space="preserve">Houten akoestische panelen in FSC-fineer: gegroefd, geperforeerd, microgeperforeerd, glad</t>
  </si>
  <si>
    <t xml:space="preserve">panneaux-acoustiques-bois</t>
  </si>
  <si>
    <t xml:space="preserve">Panneaux acoustiques en bois — placage &amp; microperforés | Re-Sound</t>
  </si>
  <si>
    <t xml:space="preserve">Panneaux acoustiques en bois plaqué FSC : rainurés, perforés, microperforés, lisses</t>
  </si>
  <si>
    <t xml:space="preserve">holz-akustikpaneele</t>
  </si>
  <si>
    <t xml:space="preserve">Holz-Akustikpaneele — Furnier &amp; mikroperforiert | Re-Sound</t>
  </si>
  <si>
    <t xml:space="preserve">Holz-Akustikpaneele mit FSC-Furnier: genutet, perforiert, mikroperforiert, glatt</t>
  </si>
  <si>
    <t xml:space="preserve">acoustic-phone-booths</t>
  </si>
  <si>
    <t xml:space="preserve">Acoustic Phone Booths &amp; Office Pods, Made in Belgium | Re-Sound</t>
  </si>
  <si>
    <t xml:space="preserve">Office phone booths and meeting pods, built in Belgium</t>
  </si>
  <si>
    <t xml:space="preserve">akoestische-belcabines</t>
  </si>
  <si>
    <t xml:space="preserve">Akoestische belcabines &amp; telefooncellen voor kantoor | Re-Sound</t>
  </si>
  <si>
    <t xml:space="preserve">Belcabines en vergaderpods voor kantoor, gebouwd in België</t>
  </si>
  <si>
    <t xml:space="preserve">cabines-acoustiques</t>
  </si>
  <si>
    <t xml:space="preserve">Cabines acoustiques &amp; phone box de bureau | Re-Sound</t>
  </si>
  <si>
    <t xml:space="preserve">Cabines téléphoniques et pods de réunion pour le bureau, fabriqués en Belgique</t>
  </si>
  <si>
    <t xml:space="preserve">telefonboxen</t>
  </si>
  <si>
    <t xml:space="preserve">Akustik-Telefonboxen &amp; Meeting-Pods fürs Büro | Re-Sound</t>
  </si>
  <si>
    <t xml:space="preserve">Telefonboxen und Meeting-Pods fürs Büro, gebaut in Belgien</t>
  </si>
  <si>
    <t xml:space="preserve">Product ID</t>
  </si>
  <si>
    <t xml:space="preserve">Display name</t>
  </si>
  <si>
    <t xml:space="preserve">Category term (EN)</t>
  </si>
  <si>
    <t xml:space="preserve">From price (EUR, excl. VAT)</t>
  </si>
  <si>
    <t xml:space="preserve">Price unit</t>
  </si>
  <si>
    <t xml:space="preserve">Made in (ISO country)</t>
  </si>
  <si>
    <t xml:space="preserve">Recycled content %</t>
  </si>
  <si>
    <t xml:space="preserve">αw (ISO 11654)</t>
  </si>
  <si>
    <t xml:space="preserve">NRC (ASTM C423)</t>
  </si>
  <si>
    <t xml:space="preserve">Absorption class</t>
  </si>
  <si>
    <t xml:space="preserve">Fire class (EN 13501-1)</t>
  </si>
  <si>
    <t xml:space="preserve">Thickness options (mm)</t>
  </si>
  <si>
    <t xml:space="preserve">Formats</t>
  </si>
  <si>
    <t xml:space="preserve">Finishes / colours (count)</t>
  </si>
  <si>
    <t xml:space="preserve">Mounting</t>
  </si>
  <si>
    <t xml:space="preserve">Lead time (weeks)</t>
  </si>
  <si>
    <t xml:space="preserve">Capacity (booths)</t>
  </si>
  <si>
    <t xml:space="preserve">Footprint m² (booths)</t>
  </si>
  <si>
    <t xml:space="preserve">External dimensions W×D×H mm</t>
  </si>
  <si>
    <t xml:space="preserve">Weight kg</t>
  </si>
  <si>
    <t xml:space="preserve">ISO 23351-1 speech-level reduction dB(A)</t>
  </si>
  <si>
    <t xml:space="preserve">ISO 23351-1 class</t>
  </si>
  <si>
    <t xml:space="preserve">Ventilation</t>
  </si>
  <si>
    <t xml:space="preserve">Warranty (years)</t>
  </si>
  <si>
    <t xml:space="preserve">Certifications (only confirmed)</t>
  </si>
  <si>
    <t xml:space="preserve">EPD available (Y/N)</t>
  </si>
  <si>
    <t xml:space="preserve">Related models</t>
  </si>
  <si>
    <t xml:space="preserve">Datasheet PDF</t>
  </si>
  <si>
    <t xml:space="preserve">Installation guide PDF</t>
  </si>
  <si>
    <t xml:space="preserve">Acoustic test report PDF</t>
  </si>
  <si>
    <t xml:space="preserve">Colour &amp; finish guide PDF</t>
  </si>
  <si>
    <t xml:space="preserve">Fire certificate PDF</t>
  </si>
  <si>
    <t xml:space="preserve">Sustainability declaration PDF</t>
  </si>
  <si>
    <t xml:space="preserve">BIM/DWG (gated)</t>
  </si>
  <si>
    <t xml:space="preserve">Hero image</t>
  </si>
  <si>
    <t xml:space="preserve">Hero alt (EN)</t>
  </si>
  <si>
    <t xml:space="preserve">Notes / needs confirmation</t>
  </si>
  <si>
    <t xml:space="preserve">slug</t>
  </si>
  <si>
    <t xml:space="preserve">As shown on site</t>
  </si>
  <si>
    <t xml:space="preserve">e.g. PET acoustic panel</t>
  </si>
  <si>
    <t xml:space="preserve">Needed for Product schema 'offers'</t>
  </si>
  <si>
    <t xml:space="preserve">per m² / per set / per booth</t>
  </si>
  <si>
    <t xml:space="preserve">BE or PL — never EU</t>
  </si>
  <si>
    <t xml:space="preserve">One figure used by copy AND schema</t>
  </si>
  <si>
    <t xml:space="preserve">0.00–1.00</t>
  </si>
  <si>
    <t xml:space="preserve">formula from Tech_Absorption if filled, else type</t>
  </si>
  <si>
    <t xml:space="preserve">A–E</t>
  </si>
  <si>
    <t xml:space="preserve">e.g. B-s1,d0</t>
  </si>
  <si>
    <t xml:space="preserve">12/24/36</t>
  </si>
  <si>
    <t xml:space="preserve">1200×600 …</t>
  </si>
  <si>
    <t xml:space="preserve">number</t>
  </si>
  <si>
    <t xml:space="preserve">clip / glue / freestanding / hook</t>
  </si>
  <si>
    <t xml:space="preserve">e.g. 2–3</t>
  </si>
  <si>
    <t xml:space="preserve">persons</t>
  </si>
  <si>
    <t xml:space="preserve">m²</t>
  </si>
  <si>
    <t xml:space="preserve">mm</t>
  </si>
  <si>
    <t xml:space="preserve">kg</t>
  </si>
  <si>
    <t xml:space="preserve">measured value only</t>
  </si>
  <si>
    <t xml:space="preserve">m³/min or l/s</t>
  </si>
  <si>
    <t xml:space="preserve">years</t>
  </si>
  <si>
    <t xml:space="preserve">FSC / OEKO-TEX / A+ …</t>
  </si>
  <si>
    <t xml:space="preserve">Y/N</t>
  </si>
  <si>
    <t xml:space="preserve">slugs</t>
  </si>
  <si>
    <t xml:space="preserve">file path under /public/documents/&lt;product&gt;/</t>
  </si>
  <si>
    <t xml:space="preserve">file</t>
  </si>
  <si>
    <t xml:space="preserve">≤125 chars, no emoji</t>
  </si>
  <si>
    <t xml:space="preserve">rpet-groove</t>
  </si>
  <si>
    <t xml:space="preserve">rPET Groove</t>
  </si>
  <si>
    <t xml:space="preserve">PET acoustic panels</t>
  </si>
  <si>
    <t xml:space="preserve">per m²</t>
  </si>
  <si>
    <t xml:space="preserve">PL</t>
  </si>
  <si>
    <t xml:space="preserve">B</t>
  </si>
  <si>
    <t xml:space="preserve">B-s1,d0</t>
  </si>
  <si>
    <t xml:space="preserve">2400×600, 1200×600</t>
  </si>
  <si>
    <t xml:space="preserve">clip / glue</t>
  </si>
  <si>
    <t xml:space="preserve">2–3</t>
  </si>
  <si>
    <t xml:space="preserve">OEKO-TEX Standard 100</t>
  </si>
  <si>
    <t xml:space="preserve">N</t>
  </si>
  <si>
    <t xml:space="preserve">rpet-panel, rpet-flex-groove</t>
  </si>
  <si>
    <t xml:space="preserve">documents/rpet-groove/datasheet.pdf</t>
  </si>
  <si>
    <t xml:space="preserve">documents/rpet-groove/installation.pdf</t>
  </si>
  <si>
    <t xml:space="preserve">documents/rpet-groove/acoustic-test.pdf</t>
  </si>
  <si>
    <t xml:space="preserve">documents/rpet-groove/colours.pdf</t>
  </si>
  <si>
    <t xml:space="preserve">documents/rpet-groove/fire-certificate.pdf</t>
  </si>
  <si>
    <t xml:space="preserve">documents/rpet-groove/sustainability.pdf</t>
  </si>
  <si>
    <t xml:space="preserve">gated</t>
  </si>
  <si>
    <t xml:space="preserve">images/products/rpet-groove/hero.jpg</t>
  </si>
  <si>
    <t xml:space="preserve">rPET Groove grooved acoustic panels in grey, office wall</t>
  </si>
  <si>
    <t xml:space="preserve">Price is an example — replace</t>
  </si>
  <si>
    <t xml:space="preserve">interior</t>
  </si>
  <si>
    <t xml:space="preserve">Textile (Interior/Solid/Divide)</t>
  </si>
  <si>
    <t xml:space="preserve">Interior</t>
  </si>
  <si>
    <t xml:space="preserve">Acoustic wall panels</t>
  </si>
  <si>
    <t xml:space="preserve">per set</t>
  </si>
  <si>
    <t xml:space="preserve">BE</t>
  </si>
  <si>
    <t xml:space="preserve">A</t>
  </si>
  <si>
    <t xml:space="preserve">documents/interior/datasheet.pdf</t>
  </si>
  <si>
    <t xml:space="preserve">documents/interior/installation.pdf</t>
  </si>
  <si>
    <t xml:space="preserve">documents/interior/acoustic-test.pdf</t>
  </si>
  <si>
    <t xml:space="preserve">documents/interior/colours.pdf</t>
  </si>
  <si>
    <t xml:space="preserve">documents/interior/fire-certificate.pdf</t>
  </si>
  <si>
    <t xml:space="preserve">documents/interior/sustainability.pdf</t>
  </si>
  <si>
    <t xml:space="preserve">Site says 'from €387 per set'; αw 1.0 from meta description</t>
  </si>
  <si>
    <t xml:space="preserve">solid</t>
  </si>
  <si>
    <t xml:space="preserve">Solid</t>
  </si>
  <si>
    <t xml:space="preserve">per stuk</t>
  </si>
  <si>
    <t xml:space="preserve">1200×600</t>
  </si>
  <si>
    <t xml:space="preserve">hook</t>
  </si>
  <si>
    <t xml:space="preserve">documents/solid/datasheet.pdf</t>
  </si>
  <si>
    <t xml:space="preserve">documents/solid/installation.pdf</t>
  </si>
  <si>
    <t xml:space="preserve">documents/solid/acoustic-test.pdf</t>
  </si>
  <si>
    <t xml:space="preserve">documents/solid/colours.pdf</t>
  </si>
  <si>
    <t xml:space="preserve">documents/solid/fire-certificate.pdf</t>
  </si>
  <si>
    <t xml:space="preserve">documents/solid/sustainability.pdf</t>
  </si>
  <si>
    <t xml:space="preserve">divide</t>
  </si>
  <si>
    <t xml:space="preserve">Divide</t>
  </si>
  <si>
    <t xml:space="preserve">Freestanding acoustic screens</t>
  </si>
  <si>
    <t xml:space="preserve">freestanding, magnetic connection</t>
  </si>
  <si>
    <t xml:space="preserve">documents/divide/datasheet.pdf</t>
  </si>
  <si>
    <t xml:space="preserve">documents/divide/installation.pdf</t>
  </si>
  <si>
    <t xml:space="preserve">documents/divide/acoustic-test.pdf</t>
  </si>
  <si>
    <t xml:space="preserve">documents/divide/colours.pdf</t>
  </si>
  <si>
    <t xml:space="preserve">documents/divide/fire-certificate.pdf</t>
  </si>
  <si>
    <t xml:space="preserve">documents/divide/sustainability.pdf</t>
  </si>
  <si>
    <t xml:space="preserve">rwood-groove</t>
  </si>
  <si>
    <t xml:space="preserve">rWood Groove</t>
  </si>
  <si>
    <t xml:space="preserve">Acoustic wood panels</t>
  </si>
  <si>
    <t xml:space="preserve">B-s2,d0</t>
  </si>
  <si>
    <t xml:space="preserve">hidden clip / glue</t>
  </si>
  <si>
    <t xml:space="preserve">3–4 (stock veneers), 6–8 (non-stock)</t>
  </si>
  <si>
    <t xml:space="preserve">FSC</t>
  </si>
  <si>
    <t xml:space="preserve">documents/rwood-groove/datasheet.pdf</t>
  </si>
  <si>
    <t xml:space="preserve">documents/rwood-groove/installation.pdf</t>
  </si>
  <si>
    <t xml:space="preserve">documents/rwood-groove/acoustic-test.pdf</t>
  </si>
  <si>
    <t xml:space="preserve">documents/rwood-groove/colours.pdf</t>
  </si>
  <si>
    <t xml:space="preserve">documents/rwood-groove/fire-certificate.pdf</t>
  </si>
  <si>
    <t xml:space="preserve">documents/rwood-groove/sustainability.pdf</t>
  </si>
  <si>
    <t xml:space="preserve">rwood-micro</t>
  </si>
  <si>
    <t xml:space="preserve">rWood Micro</t>
  </si>
  <si>
    <t xml:space="preserve">Micro-perforated acoustic wood panels</t>
  </si>
  <si>
    <t xml:space="preserve">documents/rwood-micro/datasheet.pdf</t>
  </si>
  <si>
    <t xml:space="preserve">documents/rwood-micro/installation.pdf</t>
  </si>
  <si>
    <t xml:space="preserve">documents/rwood-micro/acoustic-test.pdf</t>
  </si>
  <si>
    <t xml:space="preserve">documents/rwood-micro/colours.pdf</t>
  </si>
  <si>
    <t xml:space="preserve">documents/rwood-micro/fire-certificate.pdf</t>
  </si>
  <si>
    <t xml:space="preserve">documents/rwood-micro/sustainability.pdf</t>
  </si>
  <si>
    <t xml:space="preserve">rwood-perf</t>
  </si>
  <si>
    <t xml:space="preserve">rWood Perf</t>
  </si>
  <si>
    <t xml:space="preserve">Perforated acoustic wood panels</t>
  </si>
  <si>
    <t xml:space="preserve">documents/rwood-perf/datasheet.pdf</t>
  </si>
  <si>
    <t xml:space="preserve">documents/rwood-perf/installation.pdf</t>
  </si>
  <si>
    <t xml:space="preserve">documents/rwood-perf/acoustic-test.pdf</t>
  </si>
  <si>
    <t xml:space="preserve">documents/rwood-perf/colours.pdf</t>
  </si>
  <si>
    <t xml:space="preserve">documents/rwood-perf/fire-certificate.pdf</t>
  </si>
  <si>
    <t xml:space="preserve">documents/rwood-perf/sustainability.pdf</t>
  </si>
  <si>
    <t xml:space="preserve">rwood-veneer</t>
  </si>
  <si>
    <t xml:space="preserve">rWood Panel</t>
  </si>
  <si>
    <t xml:space="preserve">Veneer acoustic panels</t>
  </si>
  <si>
    <t xml:space="preserve">Y</t>
  </si>
  <si>
    <t xml:space="preserve">documents/rwood-veneer/datasheet.pdf</t>
  </si>
  <si>
    <t xml:space="preserve">documents/rwood-veneer/installation.pdf</t>
  </si>
  <si>
    <t xml:space="preserve">documents/rwood-veneer/acoustic-test.pdf</t>
  </si>
  <si>
    <t xml:space="preserve">documents/rwood-veneer/colours.pdf</t>
  </si>
  <si>
    <t xml:space="preserve">documents/rwood-veneer/fire-certificate.pdf</t>
  </si>
  <si>
    <t xml:space="preserve">documents/rwood-veneer/sustainability.pdf</t>
  </si>
  <si>
    <t xml:space="preserve">Site says 'EPD available' and '10 curated species'</t>
  </si>
  <si>
    <t xml:space="preserve">rpet-panel</t>
  </si>
  <si>
    <t xml:space="preserve">rPET Panel</t>
  </si>
  <si>
    <t xml:space="preserve">OEKO-TEX Standard 100, French A+ emissions</t>
  </si>
  <si>
    <t xml:space="preserve">documents/rpet-panel/datasheet.pdf</t>
  </si>
  <si>
    <t xml:space="preserve">documents/rpet-panel/installation.pdf</t>
  </si>
  <si>
    <t xml:space="preserve">documents/rpet-panel/acoustic-test.pdf</t>
  </si>
  <si>
    <t xml:space="preserve">documents/rpet-panel/colours.pdf</t>
  </si>
  <si>
    <t xml:space="preserve">documents/rpet-panel/fire-certificate.pdf</t>
  </si>
  <si>
    <t xml:space="preserve">documents/rpet-panel/sustainability.pdf</t>
  </si>
  <si>
    <t xml:space="preserve">Site body says 'up to 50% recycled', schema says 100% — confirm; 16 colours</t>
  </si>
  <si>
    <t xml:space="preserve">2–3 (stock), 5–6 (custom)</t>
  </si>
  <si>
    <t xml:space="preserve">rpet-flex-groove</t>
  </si>
  <si>
    <t xml:space="preserve">rPET Flex Groove</t>
  </si>
  <si>
    <t xml:space="preserve">Flexible PET acoustic panels</t>
  </si>
  <si>
    <t xml:space="preserve">documents/rpet-flex-groove/datasheet.pdf</t>
  </si>
  <si>
    <t xml:space="preserve">documents/rpet-flex-groove/installation.pdf</t>
  </si>
  <si>
    <t xml:space="preserve">documents/rpet-flex-groove/acoustic-test.pdf</t>
  </si>
  <si>
    <t xml:space="preserve">documents/rpet-flex-groove/colours.pdf</t>
  </si>
  <si>
    <t xml:space="preserve">documents/rpet-flex-groove/fire-certificate.pdf</t>
  </si>
  <si>
    <t xml:space="preserve">documents/rpet-flex-groove/sustainability.pdf</t>
  </si>
  <si>
    <t xml:space="preserve">solo-flex</t>
  </si>
  <si>
    <t xml:space="preserve">Solo Flex</t>
  </si>
  <si>
    <t xml:space="preserve">Acoustic phone booths</t>
  </si>
  <si>
    <t xml:space="preserve">4–6</t>
  </si>
  <si>
    <t xml:space="preserve">1020×1020×2260</t>
  </si>
  <si>
    <t xml:space="preserve">4.6 m³/min</t>
  </si>
  <si>
    <t xml:space="preserve">documents/solo-flex/datasheet.pdf</t>
  </si>
  <si>
    <t xml:space="preserve">documents/solo-flex/installation.pdf</t>
  </si>
  <si>
    <t xml:space="preserve">documents/solo-flex/acoustic-test.pdf</t>
  </si>
  <si>
    <t xml:space="preserve">documents/solo-flex/colours.pdf</t>
  </si>
  <si>
    <t xml:space="preserve">documents/solo-flex/fire-certificate.pdf</t>
  </si>
  <si>
    <t xml:space="preserve">documents/solo-flex/sustainability.pdf</t>
  </si>
  <si>
    <t xml:space="preserve">dB value from site FAQ ('approximately 24 dB(A)')</t>
  </si>
  <si>
    <t xml:space="preserve">duo</t>
  </si>
  <si>
    <t xml:space="preserve">Duo</t>
  </si>
  <si>
    <t xml:space="preserve">documents/duo/datasheet.pdf</t>
  </si>
  <si>
    <t xml:space="preserve">documents/duo/installation.pdf</t>
  </si>
  <si>
    <t xml:space="preserve">documents/duo/acoustic-test.pdf</t>
  </si>
  <si>
    <t xml:space="preserve">documents/duo/colours.pdf</t>
  </si>
  <si>
    <t xml:space="preserve">documents/duo/fire-certificate.pdf</t>
  </si>
  <si>
    <t xml:space="preserve">documents/duo/sustainability.pdf</t>
  </si>
  <si>
    <t xml:space="preserve">ISO 23351-1 value not on site — measure/confirm</t>
  </si>
  <si>
    <t xml:space="preserve">modular-xl</t>
  </si>
  <si>
    <t xml:space="preserve">Modular XL</t>
  </si>
  <si>
    <t xml:space="preserve">Acoustic meeting pods</t>
  </si>
  <si>
    <t xml:space="preserve">6–10</t>
  </si>
  <si>
    <t xml:space="preserve">documents/modular-xl/datasheet.pdf</t>
  </si>
  <si>
    <t xml:space="preserve">documents/modular-xl/installation.pdf</t>
  </si>
  <si>
    <t xml:space="preserve">documents/modular-xl/acoustic-test.pdf</t>
  </si>
  <si>
    <t xml:space="preserve">documents/modular-xl/colours.pdf</t>
  </si>
  <si>
    <t xml:space="preserve">documents/modular-xl/fire-certificate.pdf</t>
  </si>
  <si>
    <t xml:space="preserve">documents/modular-xl/sustainability.pdf</t>
  </si>
  <si>
    <t xml:space="preserve">25.9 dB(A) from site</t>
  </si>
  <si>
    <t xml:space="preserve">ISO 23351-1 class thresholds used: A+ ≥ 33 dB · A ≥ 30 · B ≥ 27 · C ≥ 24 · D ≥ 21 (speech-level reduction Ds,A). Verify against the certificate before publishing.</t>
  </si>
  <si>
    <t xml:space="preserve">Sub-page</t>
  </si>
  <si>
    <t xml:space="preserve">Intro (60–100 words)</t>
  </si>
  <si>
    <t xml:space="preserve">Section 1 heading</t>
  </si>
  <si>
    <t xml:space="preserve">Section 1 content / data source</t>
  </si>
  <si>
    <t xml:space="preserve">Section 2 heading</t>
  </si>
  <si>
    <t xml:space="preserve">Section 2 content / data source</t>
  </si>
  <si>
    <t xml:space="preserve">Section 3 heading</t>
  </si>
  <si>
    <t xml:space="preserve">Section 3 content / data source</t>
  </si>
  <si>
    <t xml:space="preserve">Downloads shown (files)</t>
  </si>
  <si>
    <t xml:space="preserve">Related product pages</t>
  </si>
  <si>
    <t xml:space="preserve">datasheet · colours · fire-safety · installation · specification · faq</t>
  </si>
  <si>
    <t xml:space="preserve">en/nl/fr/de</t>
  </si>
  <si>
    <t xml:space="preserve">/technical/&lt;range&gt;/&lt;sub-page&gt;</t>
  </si>
  <si>
    <t xml:space="preserve">e.g. rPET Groove datasheet — αw, fire class, formats</t>
  </si>
  <si>
    <t xml:space="preserve">What the page is for and who it is for</t>
  </si>
  <si>
    <t xml:space="preserve">Reference the sheet that holds the data (Tech_Absorption, Finishes, Fire_Tests, Installation, Spec_Clauses, FAQ)</t>
  </si>
  <si>
    <t xml:space="preserve">From Products_Data</t>
  </si>
  <si>
    <t xml:space="preserve">datasheet</t>
  </si>
  <si>
    <t xml:space="preserve">/technical/rwood/datasheet</t>
  </si>
  <si>
    <t xml:space="preserve">rWood Datasheet — Absorption, Fire Class, Formats | Re-Sound</t>
  </si>
  <si>
    <t xml:space="preserve">Full technical data for rWood Groove, Micro, Perf and Panel: αw per frequency, NRC, fire class, formats, weights and substrates. PDF per model.</t>
  </si>
  <si>
    <t xml:space="preserve">rWood technical datasheet</t>
  </si>
  <si>
    <t xml:space="preserve">One table per model, all values from certified tests …</t>
  </si>
  <si>
    <t xml:space="preserve">Absorption per model</t>
  </si>
  <si>
    <t xml:space="preserve">Tech_Absorption rows rwood-*</t>
  </si>
  <si>
    <t xml:space="preserve">Formats &amp; weights</t>
  </si>
  <si>
    <t xml:space="preserve">Products_Data columns Thickness/Formats/Weight</t>
  </si>
  <si>
    <t xml:space="preserve">Fire classification</t>
  </si>
  <si>
    <t xml:space="preserve">Fire_Tests rows rwood-*</t>
  </si>
  <si>
    <t xml:space="preserve">documents/rwood-*/datasheet.pdf</t>
  </si>
  <si>
    <t xml:space="preserve">rwood-groove, rwood-micro, rwood-perf, rwood-veneer</t>
  </si>
  <si>
    <t xml:space="preserve">/technical/rpet/datasheet</t>
  </si>
  <si>
    <t xml:space="preserve">colours</t>
  </si>
  <si>
    <t xml:space="preserve">/technical/rpet/colours</t>
  </si>
  <si>
    <t xml:space="preserve">fire-safety</t>
  </si>
  <si>
    <t xml:space="preserve">/technical/rpet/fire-safety</t>
  </si>
  <si>
    <t xml:space="preserve">installation</t>
  </si>
  <si>
    <t xml:space="preserve">/technical/rpet/installation</t>
  </si>
  <si>
    <t xml:space="preserve">specification</t>
  </si>
  <si>
    <t xml:space="preserve">/technical/rpet/specification</t>
  </si>
  <si>
    <t xml:space="preserve">faq</t>
  </si>
  <si>
    <t xml:space="preserve">/technical/rpet/faq</t>
  </si>
  <si>
    <t xml:space="preserve">/technical/rwood/colours</t>
  </si>
  <si>
    <t xml:space="preserve">/technical/rwood/fire-safety</t>
  </si>
  <si>
    <t xml:space="preserve">/technical/rwood/installation</t>
  </si>
  <si>
    <t xml:space="preserve">/technical/rwood/specification</t>
  </si>
  <si>
    <t xml:space="preserve">/technical/rwood/faq</t>
  </si>
  <si>
    <t xml:space="preserve">/technical/booths/datasheet</t>
  </si>
  <si>
    <t xml:space="preserve">/technical/booths/colours</t>
  </si>
  <si>
    <t xml:space="preserve">/technical/booths/fire-safety</t>
  </si>
  <si>
    <t xml:space="preserve">/technical/booths/installation</t>
  </si>
  <si>
    <t xml:space="preserve">/technical/booths/specification</t>
  </si>
  <si>
    <t xml:space="preserve">/technical/booths/faq</t>
  </si>
  <si>
    <t xml:space="preserve">Variant / thickness</t>
  </si>
  <si>
    <t xml:space="preserve">Mounting (type A / E-50 / E-200)</t>
  </si>
  <si>
    <t xml:space="preserve">Backing / air gap</t>
  </si>
  <si>
    <t xml:space="preserve">α 125 Hz</t>
  </si>
  <si>
    <t xml:space="preserve">α 250 Hz</t>
  </si>
  <si>
    <t xml:space="preserve">α 500 Hz</t>
  </si>
  <si>
    <t xml:space="preserve">α 1000 Hz</t>
  </si>
  <si>
    <t xml:space="preserve">α 2000 Hz</t>
  </si>
  <si>
    <t xml:space="preserve">α 4000 Hz</t>
  </si>
  <si>
    <t xml:space="preserve">NRC (formula)</t>
  </si>
  <si>
    <t xml:space="preserve">αw (from report)</t>
  </si>
  <si>
    <t xml:space="preserve">Class (from report)</t>
  </si>
  <si>
    <t xml:space="preserve">Test standard</t>
  </si>
  <si>
    <t xml:space="preserve">Lab</t>
  </si>
  <si>
    <t xml:space="preserve">Report number</t>
  </si>
  <si>
    <t xml:space="preserve">Test date</t>
  </si>
  <si>
    <t xml:space="preserve">Report PDF</t>
  </si>
  <si>
    <t xml:space="preserve">e.g. 24 mm</t>
  </si>
  <si>
    <t xml:space="preserve">per ISO 354 mounting</t>
  </si>
  <si>
    <t xml:space="preserve">e.g. 50 mm mineral wool</t>
  </si>
  <si>
    <t xml:space="preserve">formula: average of 250/500/1000/2000 Hz, rounded to 0.05</t>
  </si>
  <si>
    <t xml:space="preserve">single-number rating per ISO 11654</t>
  </si>
  <si>
    <t xml:space="preserve">ISO 354 / ASTM C423</t>
  </si>
  <si>
    <t xml:space="preserve">24 mm</t>
  </si>
  <si>
    <t xml:space="preserve">E-50</t>
  </si>
  <si>
    <t xml:space="preserve">50 mm air gap</t>
  </si>
  <si>
    <t xml:space="preserve">ISO 354</t>
  </si>
  <si>
    <t xml:space="preserve">(lab name)</t>
  </si>
  <si>
    <t xml:space="preserve">(report no.)</t>
  </si>
  <si>
    <t xml:space="preserve">2025-03-01</t>
  </si>
  <si>
    <t xml:space="preserve">Example values — replace with the report</t>
  </si>
  <si>
    <t xml:space="preserve">Finish name</t>
  </si>
  <si>
    <t xml:space="preserve">Finish code</t>
  </si>
  <si>
    <t xml:space="preserve">Type</t>
  </si>
  <si>
    <t xml:space="preserve">Wood species / colour reference (RAL/NCS)</t>
  </si>
  <si>
    <t xml:space="preserve">Stocked (Y/N)</t>
  </si>
  <si>
    <t xml:space="preserve">Lead time if not stocked</t>
  </si>
  <si>
    <t xml:space="preserve">Swatch image file</t>
  </si>
  <si>
    <t xml:space="preserve">Alt EN</t>
  </si>
  <si>
    <t xml:space="preserve">Alt NL</t>
  </si>
  <si>
    <t xml:space="preserve">Alt FR</t>
  </si>
  <si>
    <t xml:space="preserve">Alt DE</t>
  </si>
  <si>
    <t xml:space="preserve">Show on hub (Y/N)</t>
  </si>
  <si>
    <t xml:space="preserve">As on site</t>
  </si>
  <si>
    <t xml:space="preserve">internal code</t>
  </si>
  <si>
    <t xml:space="preserve">veneer / colour / fabric / laminate</t>
  </si>
  <si>
    <t xml:space="preserve">e.g. Oak, RAL 7016</t>
  </si>
  <si>
    <t xml:space="preserve">weeks</t>
  </si>
  <si>
    <t xml:space="preserve">≤125 chars</t>
  </si>
  <si>
    <t xml:space="preserve">Silk Oak</t>
  </si>
  <si>
    <t xml:space="preserve">RW-G-SOK</t>
  </si>
  <si>
    <t xml:space="preserve">veneer</t>
  </si>
  <si>
    <t xml:space="preserve">European oak, FSC</t>
  </si>
  <si>
    <t xml:space="preserve">images/products/rwood-groove/swatches/silk-oak.jpg</t>
  </si>
  <si>
    <t xml:space="preserve">Silk Oak veneer swatch — rWood Groove</t>
  </si>
  <si>
    <t xml:space="preserve">Silk Oak fineerstaal — rWood Groove</t>
  </si>
  <si>
    <t xml:space="preserve">Échantillon placage Silk Oak — rWood Groove</t>
  </si>
  <si>
    <t xml:space="preserve">Furniermuster Silk Oak — rWood Groove</t>
  </si>
  <si>
    <t xml:space="preserve">images/products/rwood-groove/silk-oak.jpg</t>
  </si>
  <si>
    <t xml:space="preserve">Seen on the live site</t>
  </si>
  <si>
    <t xml:space="preserve">Straw Oak</t>
  </si>
  <si>
    <t xml:space="preserve">images/products/rwood-groove/straw-oak.jpg</t>
  </si>
  <si>
    <t xml:space="preserve">Umber Oak</t>
  </si>
  <si>
    <t xml:space="preserve">images/products/rwood-groove/umber-oak.jpg</t>
  </si>
  <si>
    <t xml:space="preserve">Tobacco Walnut</t>
  </si>
  <si>
    <t xml:space="preserve">images/products/rwood-groove/tobacco-walnut.jpg</t>
  </si>
  <si>
    <t xml:space="preserve">Walnut</t>
  </si>
  <si>
    <t xml:space="preserve">images/products/rwood-groove/walnut.jpg</t>
  </si>
  <si>
    <t xml:space="preserve">Variant</t>
  </si>
  <si>
    <t xml:space="preserve">Classification (EN 13501-1)</t>
  </si>
  <si>
    <t xml:space="preserve">Test standard(s)</t>
  </si>
  <si>
    <t xml:space="preserve">Report / certificate number</t>
  </si>
  <si>
    <t xml:space="preserve">Issue date</t>
  </si>
  <si>
    <t xml:space="preserve">Valid until</t>
  </si>
  <si>
    <t xml:space="preserve">Certificate PDF</t>
  </si>
  <si>
    <t xml:space="preserve">Show on page (Y/N)</t>
  </si>
  <si>
    <t xml:space="preserve">e.g. 12 mm on plasterboard</t>
  </si>
  <si>
    <t xml:space="preserve">EN 13823 (SBI), EN ISO 11925-2</t>
  </si>
  <si>
    <t xml:space="preserve">24 mm, glued</t>
  </si>
  <si>
    <t xml:space="preserve">EN 13823, EN ISO 11925-2</t>
  </si>
  <si>
    <t xml:space="preserve">(lab)</t>
  </si>
  <si>
    <t xml:space="preserve">(no.)</t>
  </si>
  <si>
    <t xml:space="preserve">2025-01-15</t>
  </si>
  <si>
    <t xml:space="preserve">2030-01-15</t>
  </si>
  <si>
    <t xml:space="preserve">Example</t>
  </si>
  <si>
    <t xml:space="preserve">Class from site</t>
  </si>
  <si>
    <t xml:space="preserve">Method</t>
  </si>
  <si>
    <t xml:space="preserve">Substrate / situation</t>
  </si>
  <si>
    <t xml:space="preserve">Tools &amp; accessories</t>
  </si>
  <si>
    <t xml:space="preserve">Step 1</t>
  </si>
  <si>
    <t xml:space="preserve">Step 2</t>
  </si>
  <si>
    <t xml:space="preserve">Step 3</t>
  </si>
  <si>
    <t xml:space="preserve">Step 4</t>
  </si>
  <si>
    <t xml:space="preserve">Step 5</t>
  </si>
  <si>
    <t xml:space="preserve">Step 6</t>
  </si>
  <si>
    <t xml:space="preserve">Step 7</t>
  </si>
  <si>
    <t xml:space="preserve">Step 8</t>
  </si>
  <si>
    <t xml:space="preserve">Time per m² or per unit</t>
  </si>
  <si>
    <t xml:space="preserve">Video URL</t>
  </si>
  <si>
    <t xml:space="preserve">Locale of this text</t>
  </si>
  <si>
    <t xml:space="preserve">clip / glue / hook / freestanding / booth assembly</t>
  </si>
  <si>
    <t xml:space="preserve">plasterboard, concrete, ceiling grid…</t>
  </si>
  <si>
    <t xml:space="preserve">One action per step, imperative</t>
  </si>
  <si>
    <t xml:space="preserve">e.g. ~3 min per panel</t>
  </si>
  <si>
    <t xml:space="preserve">YouTube/Vimeo</t>
  </si>
  <si>
    <t xml:space="preserve">hidden clip</t>
  </si>
  <si>
    <t xml:space="preserve">plasterboard wall</t>
  </si>
  <si>
    <t xml:space="preserve">clip rail, screws, level, saw</t>
  </si>
  <si>
    <t xml:space="preserve">Mark the rail positions every 600 mm</t>
  </si>
  <si>
    <t xml:space="preserve">Fix the rails level</t>
  </si>
  <si>
    <t xml:space="preserve">Clip the first panel from the corner</t>
  </si>
  <si>
    <t xml:space="preserve">~3 min per panel</t>
  </si>
  <si>
    <t xml:space="preserve">Specification clause (architect text / bestek / CCTP / Ausschreibung)</t>
  </si>
  <si>
    <t xml:space="preserve">Key values to include</t>
  </si>
  <si>
    <t xml:space="preserve">BIM file (Revit)</t>
  </si>
  <si>
    <t xml:space="preserve">DWG/DXF</t>
  </si>
  <si>
    <t xml:space="preserve">Product data sheet reference</t>
  </si>
  <si>
    <t xml:space="preserve">150–250 words, neutral tone, 'or equivalent' avoided by naming performance</t>
  </si>
  <si>
    <t xml:space="preserve">αw, class, fire class, format, thickness, recycled %, certifications</t>
  </si>
  <si>
    <t xml:space="preserve">gated file</t>
  </si>
  <si>
    <t xml:space="preserve">PDF</t>
  </si>
  <si>
    <t xml:space="preserve">Akoestisch wandpaneel in 100% gerecycleerd PET-vilt, gegroefd, dikte 24 mm, formaat 2400×600 mm, geluidsabsorptie αw 0,85 (klasse B) volgens ISO 11654, brandklasse B-s1,d0 volgens EN 13501-1, OEKO-TEX Standard 100, montage met clips op rail … (voorbeeld)</t>
  </si>
  <si>
    <t xml:space="preserve">αw 0.85 / B-s1,d0 / 24 mm / 100 % rPET</t>
  </si>
  <si>
    <t xml:space="preserve">bim/rpet-groove.rvt</t>
  </si>
  <si>
    <t xml:space="preserve">dwg/rpet-groove.dwg</t>
  </si>
  <si>
    <t xml:space="preserve">Project name</t>
  </si>
  <si>
    <t xml:space="preserve">Client name (public Y/N)</t>
  </si>
  <si>
    <t xml:space="preserve">Sector</t>
  </si>
  <si>
    <t xml:space="preserve">City</t>
  </si>
  <si>
    <t xml:space="preserve">Country</t>
  </si>
  <si>
    <t xml:space="preserve">Year</t>
  </si>
  <si>
    <t xml:space="preserve">Products used (slugs)</t>
  </si>
  <si>
    <t xml:space="preserve">Finishes</t>
  </si>
  <si>
    <t xml:space="preserve">Quantity (m² or booths)</t>
  </si>
  <si>
    <t xml:space="preserve">Architect / partner</t>
  </si>
  <si>
    <t xml:space="preserve">Challenge (60–100 words)</t>
  </si>
  <si>
    <t xml:space="preserve">Solution (100–150 words)</t>
  </si>
  <si>
    <t xml:space="preserve">Result — measured (RT60 before/after, dB, m²)</t>
  </si>
  <si>
    <t xml:space="preserve">Client quote</t>
  </si>
  <si>
    <t xml:space="preserve">Quote author + role</t>
  </si>
  <si>
    <t xml:space="preserve">Photo 1</t>
  </si>
  <si>
    <t xml:space="preserve">Photo 2</t>
  </si>
  <si>
    <t xml:space="preserve">Photo 3</t>
  </si>
  <si>
    <t xml:space="preserve">Photo 4</t>
  </si>
  <si>
    <t xml:space="preserve">Photo 5</t>
  </si>
  <si>
    <t xml:space="preserve">Alt text pattern</t>
  </si>
  <si>
    <t xml:space="preserve">PDF case study</t>
  </si>
  <si>
    <t xml:space="preserve">Locales to publish</t>
  </si>
  <si>
    <t xml:space="preserve">Consent obtained (Y/N)</t>
  </si>
  <si>
    <t xml:space="preserve">Body word count</t>
  </si>
  <si>
    <t xml:space="preserve">kebab-case</t>
  </si>
  <si>
    <t xml:space="preserve">Human name</t>
  </si>
  <si>
    <t xml:space="preserve">If N, use 'a law firm in Antwerp'</t>
  </si>
  <si>
    <t xml:space="preserve">ISO-2</t>
  </si>
  <si>
    <t xml:space="preserve">yyyy</t>
  </si>
  <si>
    <t xml:space="preserve">Name + link if allowed</t>
  </si>
  <si>
    <t xml:space="preserve">The noise problem, in the client's words</t>
  </si>
  <si>
    <t xml:space="preserve">What was installed and why</t>
  </si>
  <si>
    <t xml:space="preserve">Numbers or it did not happen</t>
  </si>
  <si>
    <t xml:space="preserve">1–3 sentences</t>
  </si>
  <si>
    <t xml:space="preserve">file — min 1600 px wide</t>
  </si>
  <si>
    <t xml:space="preserve">e.g. rPET Groove panels in the meeting room of &lt;client&gt;, &lt;city&gt;</t>
  </si>
  <si>
    <t xml:space="preserve">e.g. en,nl,fr</t>
  </si>
  <si>
    <t xml:space="preserve">e.g. Open-plan office in Ghent: RT60 from 1.2 s to 0.6 s with rPET Groove</t>
  </si>
  <si>
    <t xml:space="preserve">law-firm-antwerp-rpet-groove</t>
  </si>
  <si>
    <t xml:space="preserve">Law firm, Antwerp</t>
  </si>
  <si>
    <t xml:space="preserve">Office</t>
  </si>
  <si>
    <t xml:space="preserve">Antwerp</t>
  </si>
  <si>
    <t xml:space="preserve">rpet-groove, solo-flex</t>
  </si>
  <si>
    <t xml:space="preserve">Grey, Oak</t>
  </si>
  <si>
    <t xml:space="preserve">85 m² + 2 booths</t>
  </si>
  <si>
    <t xml:space="preserve">(architect)</t>
  </si>
  <si>
    <t xml:space="preserve">Speech carried across the open floor; calls disturbed colleagues …</t>
  </si>
  <si>
    <t xml:space="preserve">rPET Groove on the two long walls, Solo Flex booths near the meeting rooms …</t>
  </si>
  <si>
    <t xml:space="preserve">RT60 1.1 s → 0.5 s (500–2000 Hz), measured by …</t>
  </si>
  <si>
    <t xml:space="preserve">'We can finally take calls at our desks.'</t>
  </si>
  <si>
    <t xml:space="preserve">Office manager</t>
  </si>
  <si>
    <t xml:space="preserve">images/projects/law-firm-antwerp/01.jpg</t>
  </si>
  <si>
    <t xml:space="preserve">…/02.jpg</t>
  </si>
  <si>
    <t xml:space="preserve">…/03.jpg</t>
  </si>
  <si>
    <t xml:space="preserve">…/04.jpg</t>
  </si>
  <si>
    <t xml:space="preserve">…/05.jpg</t>
  </si>
  <si>
    <t xml:space="preserve">rPET Groove panels in an open-plan law office in Antwerp</t>
  </si>
  <si>
    <t xml:space="preserve">Law firm Antwerp: quieter open office with rPET Groove | Re-Sound</t>
  </si>
  <si>
    <t xml:space="preserve">How 85 m² of rPET Groove and two Solo Flex booths halved the reverberation time in an Antwerp law office.</t>
  </si>
  <si>
    <t xml:space="preserve">Noise problem 1</t>
  </si>
  <si>
    <t xml:space="preserve">Noise problem 2</t>
  </si>
  <si>
    <t xml:space="preserve">Noise problem 3</t>
  </si>
  <si>
    <t xml:space="preserve">Norms / guidelines to cite (verify)</t>
  </si>
  <si>
    <t xml:space="preserve">Target values (RT60 / dB)</t>
  </si>
  <si>
    <t xml:space="preserve">Recommended product 1 + why</t>
  </si>
  <si>
    <t xml:space="preserve">Recommended product 2 + why</t>
  </si>
  <si>
    <t xml:space="preserve">Recommended product 3 + why</t>
  </si>
  <si>
    <t xml:space="preserve">Case studies linked (slugs)</t>
  </si>
  <si>
    <t xml:space="preserve">Hero alt</t>
  </si>
  <si>
    <t xml:space="preserve">CTA</t>
  </si>
  <si>
    <t xml:space="preserve">/applications/&lt;sector&gt;</t>
  </si>
  <si>
    <t xml:space="preserve">Sector keyword twice</t>
  </si>
  <si>
    <t xml:space="preserve">Scenario the reader recognises</t>
  </si>
  <si>
    <t xml:space="preserve">e.g. ISO 22955 (open offices), ISO 3382-3, DIN 18041 (DE), NBN S 01-400-2 (BE schools) — confirm with your acoustician</t>
  </si>
  <si>
    <t xml:space="preserve">/nl/applications/kantoor</t>
  </si>
  <si>
    <t xml:space="preserve">Akoestiek in kantoren verbeteren — panelen, belcabines | Re-Sound</t>
  </si>
  <si>
    <t xml:space="preserve">Minder nagalm en meer privacy in open kantoren: akoestische panelen, plafondeilanden en belcabines uit eigen productie. Advies en stalen gratis.</t>
  </si>
  <si>
    <t xml:space="preserve">Betere akoestiek in het kantoor</t>
  </si>
  <si>
    <t xml:space="preserve">Gesprekken dragen over de hele open ruimte</t>
  </si>
  <si>
    <t xml:space="preserve">Videocalls storen collega's</t>
  </si>
  <si>
    <t xml:space="preserve">Vergaderzalen galmen</t>
  </si>
  <si>
    <t xml:space="preserve">ISO 22955 · ISO 3382-3 (verify)</t>
  </si>
  <si>
    <t xml:space="preserve">RT60 ≤ 0,6 s in vergaderzalen (verify)</t>
  </si>
  <si>
    <t xml:space="preserve">rPET Groove — grote wandvlakken, kleur</t>
  </si>
  <si>
    <t xml:space="preserve">Solo Flex — calls zonder storen</t>
  </si>
  <si>
    <t xml:space="preserve">rWood Micro — representatieve zones</t>
  </si>
  <si>
    <t xml:space="preserve">Hoeveel panelen heeft een open kantoor nodig?</t>
  </si>
  <si>
    <t xml:space="preserve">Wat kost een belcabine?</t>
  </si>
  <si>
    <t xml:space="preserve">Helpen panelen tegen lawaai van collega's?</t>
  </si>
  <si>
    <t xml:space="preserve">Kan ik eerst stalen zien?</t>
  </si>
  <si>
    <t xml:space="preserve">images/applications/office.jpg</t>
  </si>
  <si>
    <t xml:space="preserve">rPET Groove and Solo Flex in an open-plan office</t>
  </si>
  <si>
    <t xml:space="preserve">Vraag advies</t>
  </si>
  <si>
    <t xml:space="preserve">Market</t>
  </si>
  <si>
    <t xml:space="preserve">Secondary keywords</t>
  </si>
  <si>
    <t xml:space="preserve">Outline (H2 list, one per line)</t>
  </si>
  <si>
    <t xml:space="preserve">Word count target</t>
  </si>
  <si>
    <t xml:space="preserve">Author (named person)</t>
  </si>
  <si>
    <t xml:space="preserve">Planned publish date</t>
  </si>
  <si>
    <t xml:space="preserve">Internal links (hub / product / case study)</t>
  </si>
  <si>
    <t xml:space="preserve">FAQ (2–3 Q&amp;A)</t>
  </si>
  <si>
    <t xml:space="preserve">Sources</t>
  </si>
  <si>
    <t xml:space="preserve">Draft word count</t>
  </si>
  <si>
    <t xml:space="preserve">Body (markdown)</t>
  </si>
  <si>
    <t xml:space="preserve">BP-001</t>
  </si>
  <si>
    <t xml:space="preserve">BE-NL / BE-FR / NL / DE / EN</t>
  </si>
  <si>
    <t xml:space="preserve">From Keyword_Map or new</t>
  </si>
  <si>
    <t xml:space="preserve">learn / compare / buy</t>
  </si>
  <si>
    <t xml:space="preserve">900–1 500</t>
  </si>
  <si>
    <t xml:space="preserve">E-E-A-T: a real person</t>
  </si>
  <si>
    <t xml:space="preserve">At least 3</t>
  </si>
  <si>
    <t xml:space="preserve">sample kit / quote / guide</t>
  </si>
  <si>
    <t xml:space="preserve">norms, studies</t>
  </si>
  <si>
    <t xml:space="preserve">formula — counts the words in Body when filled, otherwise in the outline</t>
  </si>
  <si>
    <t xml:space="preserve">Full article in markdown (front matter stripped). Claude Code renders this; the word counter uses it when filled.</t>
  </si>
  <si>
    <t xml:space="preserve">BP-000 (voorbeeld)</t>
  </si>
  <si>
    <t xml:space="preserve">BE-NL</t>
  </si>
  <si>
    <t xml:space="preserve">belcabine kantoor prijs</t>
  </si>
  <si>
    <t xml:space="preserve">belcel prijs, telefooncabine kantoor kopen</t>
  </si>
  <si>
    <t xml:space="preserve">Belcabine voor kantoor: prijs, keuze en plaatsing (2026)</t>
  </si>
  <si>
    <t xml:space="preserve">Belcabine kantoor: prijs en keuze in 2026 | Re-Sound</t>
  </si>
  <si>
    <t xml:space="preserve">Wat kost een belcabine voor kantoor, welke maat past en waar let je op (ISO 23351-1, ventilatie, levertijd). Met prijzen van onze eigen modellen.</t>
  </si>
  <si>
    <t xml:space="preserve">Belcabine voor kantoor: prijs, keuze en plaatsing</t>
  </si>
  <si>
    <t xml:space="preserve">Wat kost een belcabine?
Welke maat: 1, 2 of 4+ personen
Akoestiek: ISO 23351-1 klassen uitgelegd
Ventilatie en comfort
Plaatsing en levertijd
Huren of kopen</t>
  </si>
  <si>
    <t xml:space="preserve">(author)</t>
  </si>
  <si>
    <t xml:space="preserve">2026-10-06</t>
  </si>
  <si>
    <t xml:space="preserve">images/blog/belcabine-prijs.jpg</t>
  </si>
  <si>
    <t xml:space="preserve">Solo Flex belcabine in een open kantoor</t>
  </si>
  <si>
    <t xml:space="preserve">/nl/products/akoestische-belcabines, /nl/products/solo-flex, /nl/guides/prijzen-belcabines</t>
  </si>
  <si>
    <t xml:space="preserve">Hoe lang duurt de levering? / Kan ik een cabine testen?</t>
  </si>
  <si>
    <t xml:space="preserve">belcel prijs, telefooncabine kantoor kopen, akoestische telefooncel prijs, belcabine kopen</t>
  </si>
  <si>
    <t xml:space="preserve">Belcabine kantoor: prijs, keuze en plaatsing in 2026 | Re-Sound</t>
  </si>
  <si>
    <t xml:space="preserve">Wat kost een belcabine voor kantoor? Solo Flex vanaf € 2.740 excl. btw. Plus ISO 23351-1-klassen, ventilatie, plaatsing en levertijd, door de fabrikant.</t>
  </si>
  <si>
    <t xml:space="preserve">Wat kost een belcabine? De prijzen in 2026
Wat zit er in die prijs (en wat niet)
Welke maat: 1, 2 of 4+ personen
Akoestiek: wat ISO 23351-1-klassen betekenen
Ventilatie, licht en stroom: het comfort dat je pas na een week opmerkt
Plaatsing: 6 praktische checks vóór je bestelt
Kopen bij de fabrikant: levertijd, garantie en terugname
Veelgestelde vragen</t>
  </si>
  <si>
    <t xml:space="preserve">Michael Nicasens</t>
  </si>
  <si>
    <t xml:space="preserve">images/blog/belcabine-kantoor-prijs.jpg</t>
  </si>
  <si>
    <t xml:space="preserve">Solo Flex belcabine met zit-stabureau in een open kantoor</t>
  </si>
  <si>
    <t xml:space="preserve">/nl/products/akoestische-belcabines, /nl/products/solo-flex, /nl/products/duo, /nl/products/modular-xl, /nl/guides/prijzen-belcabines, /nl/where-to-buy</t>
  </si>
  <si>
    <t xml:space="preserve">Vraag een offerte voor Solo Flex</t>
  </si>
  <si>
    <t xml:space="preserve">V: Wat kost een belcabine voor kantoor gemiddeld?
A: In 2026 betaal je voor een eenpersoonscabine van een fabrikant € 3.000 à € 5.000 excl. btw; instapmodellen zitten rond € 2.000 à € 3.000, premium- en dealerprijzen tussen € 8.000 en € 12.000. Solo Flex van Re-Sound kost € 2.740 excl. btw zonder plaatsing en € 3.605 excl. btw met plaatsing.
V: Is een belcabine van klasse C stil genoeg?
A: Voor bellen en videocalls in een open kantoor wel: bij ongeveer 24 dB(A) reductie horen collega's nog gemompel van ver, maar geen woorden. Voor vertrouwelijke vergaderingen naast een drukke vloer kies je een hogere klasse of een gesloten ruimte.
V: Hoe snel staat een belcabine in mijn kantoor?
A: Vier tot zes weken voor een standaardconfiguratie; maatwerk in stof of afwerking vraagt twee tot drie weken extra. De montage duurt minder dan drie uur met twee personen, of wij plaatsen ze voor je.</t>
  </si>
  <si>
    <t xml:space="preserve">ISO 23351-1:2020 (spraakniveaureductie van gesloten kantoorcabines); productgegevens Re-Sound Solo Flex, Duo en Modular XL; marktprijzen september 2026: mute-labs.com (SOLO, € 2.990 netto), workwithisland.com (Island Solo, € 3.990 excl. btw), brandnewoffice.be (BNO Booth, € 9.320 excl. btw).</t>
  </si>
  <si>
    <t xml:space="preserve"># Belcabine voor kantoor: prijs, keuze en plaatsing (2026)
**Een belcabine voor kantoor kost bij Re-Sound vanaf € 2.740 excl. btw zonder plaatsing, of € 3.605 excl. btw inclusief plaatsing.** Dat is de prijs van Solo Flex, onze cabine voor één persoon, met zit-stabureau, ventilatie, verlichting en stroom inbegrepen. In dit artikel lees je wat je voor dat bedrag krijgt, hoe je de juiste maat kiest, wat de akoestische klassen van ISO 23351-1 betekenen en waar je op let bij de plaatsing. Geschreven door de fabrikant, dus zonder tussenhandel in de prijs.
## Wat kost een belcabine? De prijzen in 2026
De markt voor belcabines loopt in september 2026 uiteen van ongeveer € 2.000 tot meer dan € 10.000 per cabine voor één persoon. Grofweg zie je drie lagen:
- **Instapmodellen en importcabines**: € 2.000 à € 3.000 excl. btw. Vaak zonder eigen ventilatie of met een dunne wandopbouw; de akoestische klasse wordt zelden vermeld.
- **Fabrikanten met een eigen ontwerp**: € 3.000 à € 5.000 excl. btw. Ter vergelijking: een Duitse fabrikant vraagt voor zijn eenpersoonscabine € 2.990 netto, een Franse fabrikant € 3.990 excl. btw.
- **Premium en dealerprijzen**: € 8.000 à € 12.000 excl. btw. Een Belgische kantoorinrichter biedt zijn eenpersoonscabine aan voor € 9.320 excl. btw, plaatsing inbegrepen.
Solo Flex zit met **€ 2.740 excl. btw (zonder plaatsing)** of **€ 3.605 excl. btw (met plaatsing)** in de tweede laag, met een uitrusting die je normaal alleen in de derde laag vindt. Dat kan omdat we de cabine zelf bouwen: Re-Sound is een merk van Stretch Group en produceert in eigen fabrieken in Beveren-Waas (België) en Częstochowa (Polen).
Voor twee personen (Duo) en voor vergaderpods tot tien personen (Modular XL) werken we met een offerte op maat, omdat de configuratie (bureau, zitplaatsen, A/V) de prijs bepaalt.
## Wat zit er in die prijs (en wat niet)
Een prijs zegt weinig zonder de lijst van wat erin zit. Bij Solo Flex is dit standaard:
- **Geïntegreerd zit-stabureau** — je belt zittend of staand.
- **Ventilatie met vier EC-ventilatoren** die 4,6 m³ lucht per minuut verversen; een bewegingssensor schakelt ze een minuut na het verlaten van de cabine uit.
- **230 V-stopcontact en USB-C** in de cabine.
- **LED-verlichting.**
- **Stalen frame, gehard glas en een akoestische bekleding uit gerecycleerd PET.**
- **Garantie**: vijf jaar op de structuur (frame, glas, panelen, deurmechanisme) en twee jaar op de elektronica.
Wat er niet in zit bij de prijs zonder plaatsing: het transport tot op de verdieping en de montage. Twee mensen zetten de cabine in minder dan drie uur in elkaar; wie dat liever aan ons overlaat, kiest de prijs inclusief plaatsing (€ 865 verschil). Maatwerk in stof of afwerking is mogelijk en voegt twee tot drie weken aan de levertijd toe.
## Welke maat: 1, 2 of 4+ personen
De juiste maat volgt uit wat er nu misloopt op de vloer, niet uit wat er nog past.
**Eén persoon (Solo Flex, 1 m²).** Voor telefoon- en videogesprekken en voor geconcentreerd werk van een halfuur tot een halve dag. Vuistregel: één cabine per acht tot tien werkplekken in een open kantoor met veel bellers; één per vijftien als er vooral geconcentreerd gewerkt wordt.
**Twee personen (Duo, 2 m²).** Twee configuraties in één cabine: *Flex* met twee zitplaatsen voor een gesprek onder vier ogen, of *Work* met een bureau over de volle breedte voor één persoon. Handig voor HR-gesprekken, korte overlegjes en hybride calls waar twee collega's samen inbellen.
**Zes tot tien personen (Modular XL).** Een vergaderruimte in een verplaatsbare schil: de basis biedt plaats aan zes, en groeit per segment van 90 cm tot tien personen. Met volledige A/V-voorzieningen en een toegankelijke instap. Vaak goedkoper en sneller dan een vergaderzaal bijbouwen.
## Akoestiek: wat ISO 23351-1-klassen betekenen
Het enige cijfer dat telt bij een belcabine is de **spraakniveaureductie volgens ISO 23351-1**, uitgedrukt in dB(A). De norm meet hoeveel stiller spraak van binnen naar buiten (en omgekeerd) wordt, en deelt cabines in klassen in:
| Klasse | Spraakniveaureductie | In de praktijk |
|---|---|---|
| A+ | ≥ 33 dB | een gesprek is buiten de cabine niet meer hoorbaar |
| A | ≥ 30 dB | nauwelijks hoorbaar |
| B | ≥ 27 dB | hoorbaar als gedempt gemompel, niet verstaanbaar |
| C | ≥ 24 dB | gemompel op afstand, niet verstaanbaar |
| D | ≥ 21 dB | hoorbaar, flarden verstaanbaar |
**Solo Flex haalt ongeveer 24 dB(A), klasse C.** Concreet: een gesprek op normaal volume klinkt buiten de cabine als gemompel van ver, en je collega's verstaan er geen woord van. Voor bellen en videocalls in een open kantoor is dat het niveau dat het probleem oplost — je collega's horen je niet meer, en jij hen niet. Wie in de cabine een vertrouwelijk gesprek van meerdere personen wil voeren naast een druk bezette vloer, bekijkt beter Modular XL (25,9 dB(A)) of een gesloten ruimte.
Vraag bij elke leverancier het meetrapport volgens ISO 23351-1. Een cabine zonder gemeten klasse is een cabine waarvan je de prestatie niet kent.
## Ventilatie, licht en stroom: het comfort dat je pas na een week opmerkt
Na de akoestiek beslist de ventilatie of een cabine gebruikt wordt. Eén persoon in 1 m² warmt een slecht geventileerde cabine in een kwartier op; daarna staat de deur open en is de investering weg. Let op:
- **Luchtverversing**: 4,6 m³/min bij Solo Flex betekent dat de lucht in de cabine ruim elke halve minuut ververst wordt.
- **Geluid van de ventilatie**: EC-ventilatoren zijn stil genoeg om tijdens een call te blijven draaien.
- **Automatische sturing**: een bewegingssensor die de ventilatie schakelt, met een override op het bedieningspaneel.
- **Stroom in de cabine**: 230 V én USB-C, zodat laptop en telefoon geladen worden zonder kabel naar buiten.
## Plaatsing: 6 praktische checks vóór je bestelt
1. **Hoogte**: Solo Flex is 2.260 mm hoog. Reken op minstens 5 cm speling onder plafondelementen, sprinklers of verlichting.
2. **Voetafdruk en deuropening**: 1.020 × 1.020 mm, plus ruimte om de deur volledig te openen en om er langs te lopen.
3. **Vloerbelasting**: 280 kg op 1 m². Voor de meeste kantoorvloeren geen probleem, wel iets om te melden bij een verhoogde computervloer.
4. **Stopcontact**: een gewoon stopcontact binnen kabelbereik volstaat; de cabine staat vrij en vraagt geen bouwkundige ingreep.
5. **Locatie op de vloer**: niet pal naast de koffiehoek of een looproute — de cabine dempt spraak, maar de gebruiker wil ook visueel wat rust. Dicht bij de mensen die het meest bellen.
6. **Verhuizen**: de cabine staat vrij, wordt ter plaatse gemonteerd en kan later gedemonteerd mee naar een andere verdieping of een ander gebouw.
## Kopen bij de fabrikant: levertijd, garantie en terugname
Standaardconfiguraties leveren we **vier tot zes weken** na orderbevestiging; op geselecteerde voorraadmodellen is een snellere levering mogelijk. Plaatsing in de EU bieden we als standaardoptie aan. Aan het einde van de levensduur nemen we de cabine terug in België, Nederland, Frankrijk, Duitsland en Luxemburg — de staalstructuur en de PET-bekleding gaan terug onze keten in, niet naar het stort.
Wil je de cabine eerst zien en horen? In onze showroom in Beveren-Waas staan Solo Flex, Duo en Modular XL geïnstalleerd en akoestisch actief. Je kan ook een live videotour boeken of een demonstratie op locatie aanvragen in België, Nederland, Luxemburg en Noord-Frankrijk.
**Klaar om te vergelijken?** Vraag een offerte voor Solo Flex, of bekijk eerst de volledige [prijzengids voor belcabines](/nl/guides/prijzen-belcabines) met alle modellen naast elkaar.
## Veelgestelde vragen
**Wat kost een belcabine voor kantoor gemiddeld?**
In 2026 betaal je voor een eenpersoonscabine van een fabrikant € 3.000 à € 5.000 excl. btw; instapmodellen zitten rond € 2.000 à € 3.000, premium- en dealerprijzen tussen € 8.000 en € 12.000. Solo Flex van Re-Sound kost € 2.740 excl. btw zonder plaatsing en € 3.605 excl. btw met plaatsing.
**Is een belcabine van klasse C stil genoeg?**
Voor bellen en videocalls in een open kantoor wel: bij ongeveer 24 dB(A) reductie horen collega's nog gemompel van ver, maar geen woorden. Voor vertrouwelijke vergaderingen naast een drukke vloer kies je een hogere klasse of een gesloten ruimte.
**Hoe snel staat een belcabine in mijn kantoor?**
Vier tot zes weken voor een standaardconfiguratie; maatwerk in stof of afwerking vraagt twee tot drie weken extra. De montage duurt minder dan drie uur met twee personen, of wij plaatsen ze voor je.
*Bronnen: ISO 23351-1:2020 (spraakniveaureductie van gesloten kantoorcabines); productgegevens Re-Sound Solo Flex, Duo en Modular XL; marktprijzen september 2026: mute-labs.com (SOLO, € 2.990 netto), workwithisland.com (Island Solo, € 3.990 excl. btw), brandnewoffice.be (BNO Booth, € 9.320 excl. btw).*</t>
  </si>
  <si>
    <t xml:space="preserve">BP-002</t>
  </si>
  <si>
    <t xml:space="preserve">akoestiek open kantoor verbeteren</t>
  </si>
  <si>
    <t xml:space="preserve">akoestiek kantoor, geluidsoverlast open kantoor, akoestische panelen kantoor, nagalm kantoor</t>
  </si>
  <si>
    <t xml:space="preserve">Akoestiek in een open kantoor verbeteren: 7 maatregelen die werken</t>
  </si>
  <si>
    <t xml:space="preserve">Akoestiek open kantoor verbeteren: 7 maatregelen | Re-Sound</t>
  </si>
  <si>
    <t xml:space="preserve">Te veel lawaai in het open kantoor? Zeven maatregelen die werken, van plafond en wandpanelen tot belcabines, met richtwaarden, volgorde en budget.</t>
  </si>
  <si>
    <t xml:space="preserve">Waarom open kantoren zo luid zijn
Eerst meten: nagalmtijd en spraakafname
1. Begin bij het plafond
2. Wandpanelen op de reflectiepunten
3. Zoneer met akoestische scheidingswanden
4. Belcabines voor calls
5. Vergaderpods in plaats van vergaderzalen bijbouwen
6. Zachte materialen en meubilair
7. Afspraken en indeling
Wat kost het en waar begin je
Veelgestelde vragen</t>
  </si>
  <si>
    <t xml:space="preserve">2026-10-20</t>
  </si>
  <si>
    <t xml:space="preserve">images/blog/akoestiek-open-kantoor.jpg</t>
  </si>
  <si>
    <t xml:space="preserve">Open kantoor met rPET Groove wandpanelen en een Solo Flex belcabine</t>
  </si>
  <si>
    <t xml:space="preserve">/nl/applications/kantoor, /nl/products/pet-akoestische-panelen, /nl/products/rpet-groove, /nl/products/divide, /nl/products/solo-flex, /nl/products/modular-xl, https://stretchplafond.be/products/acoustic-stretch-system, /nl/where-to-buy</t>
  </si>
  <si>
    <t xml:space="preserve">Vraag gratis akoestisch advies of een stalenpakket</t>
  </si>
  <si>
    <t xml:space="preserve">V: Wat is een goede nagalmtijd voor een open kantoor?
A: Tussen 0,5 en 0,8 seconden, afhankelijk van de hoogte en de bezetting. Boven 1 seconde is absorptie (plafond, wanden) de eerste stap; rond 0,6 seconden en toch onrustig, dan helpen zoneren en belcabines meer.
V: Helpen akoestische panelen tegen het lawaai van collega's?
A: Ja, op twee manieren: ze verkorten de nagalm zodat het achtergrondniveau daalt, en ze verlagen de afstand waarop je collega's nog verstaat. Ze maken een gesprek op de vloer niet onhoorbaar; daarvoor dienen belcabines en pods.
V: Hoeveel panelen heeft een open kantoor nodig?
A: Als vuistregel 15 à 20 % van het vloeroppervlak aan absorptie van klasse A of B, bovenop een absorberend plafond. In [Hoeveel akoestische panelen heb je nodig?](/nl/blog/hoeveel-akoestische-panelen-nodig) rekenen we het voor drie ruimtes uit.</t>
  </si>
  <si>
    <t xml:space="preserve">ISO 22955:2021 (akoestische kwaliteit van open kantoren); ISO 3382-3 (spraakafname in open kantoren); ISO 3382-2 (nagalmtijdmeting); ISO 11654 (absorptieklassen); productgegevens Re-Sound.</t>
  </si>
  <si>
    <t xml:space="preserve"># Akoestiek in een open kantoor verbeteren: 7 maatregelen die werken
Een open kantoor wordt niet luid door slechte wil, maar door harde materialen en te veel mensen die tegelijk verstaanbaar willen zijn. **De akoestiek verbeteren lukt bijna altijd met een combinatie van drie dingen: absorptie toevoegen (plafond en wanden), zones afschermen (scheidingswanden en cabines) en afspraken maken over waar gebeld en vergaderd wordt.** Hieronder de zeven maatregelen die we bij Re-Sound in de praktijk zien werken, in de volgorde waarin ze het meest opbrengen.
## Waarom open kantoren zo luid zijn
Beton, glas, gips en gietvloeren absorberen nauwelijks geluid. Elke stem kaatst meerdere keren door de ruimte voor ze uitsterft: dat is nagalm. Hoe langer de nagalm, hoe luider het achtergrondniveau, en hoe luider iedereen gaat praten om er bovenuit te komen. Dat opbod heet het Lombard-effect en het verklaart waarom een kantoor om 15 uur zoveel luider is dan om 8 uur.
Het tweede probleem is spraakverstaanbaarheid: niet het volume, maar het feit dat je collega's *verstaat*. Een gesprek dat je kan volgen, trekt je aandacht, of je wil of niet. Voor open kantoren beschrijft ISO 22955 (2021) daarom niet alleen de nagalm, maar vooral hoe snel spraak over afstand afneemt (gemeten volgens ISO 3382-3). Een goed open kantoor is er een waar je collega's op zes meter niet meer verstaat.
## Eerst meten: nagalmtijd en spraakafname
Voor je iets koopt, meet je. Een nagalmtijdmeting (RT60, volgens ISO 3382-2) duurt een halve dag en levert per octaafband het cijfer op waarmee je kan rekenen. Richtwaarden die we hanteren:
- **Open kantoorvloer**: 0,5 à 0,8 s, afhankelijk van de hoogte en het aantal werkplekken.
- **Vergaderzalen**: ≤ 0,6 s.
- **Concentratiezones en cabines**: zo laag mogelijk, ≤ 0,5 s.
Meet je 1,0 s of meer, dan is absorptie de eerste stap. Zit je al rond 0,6 s en is het toch onrustig, dan is spraakafname over afstand het probleem en helpen zoneren en cabines meer dan extra panelen. Bij Re-Sound meten we op aanvraag in de showroom of bij jou op locatie.
## 1. Begin bij het plafond
Het plafond is het grootste aaneengesloten vlak en het enige dat elke werkplek "ziet". Een absorberend plafond haalt de nagalmtijd het snelst naar beneden. Twee opties:
- **Een akoestisch spanplafond**: een geperforeerd doek met absorptiemateriaal erachter, naadloos tot 5 m breed, in één dag geplaatst. Ons zusterbedrijf STRETCH plaatst ze al jaren in kantoren; lees meer op [stretchplafond.be](https://stretchplafond.be/products/acoustic-stretch-system).
- **Plafondpanelen en eilanden** in gerecycleerd PET of hout, waar het plafond zichtbaar moet blijven (leidingen, beton als esthetiek).
Vuistregel: 60 tot 80 % van het plafondoppervlak absorberend maken lost in de meeste kantoren het nagalmprobleem op.
## 2. Wandpanelen op de reflectiepunten
Wanden komen na het plafond, maar niet zomaar overal. Geluid weerkaatst het hardst op de wanden tegenover de bron en op de lange wanden van een rechthoekige ruimte. Daar horen de panelen:
- **rPET Groove** (gegroefd, 12 kleuren, 12/24/36 mm) voor grote wandvlakken die kleur mogen hebben. Absorptie αw 0,85, brandklasse B-s1,d0.
- **rWood Groove of rWood Micro** waar het interieur warmte vraagt: FSC-fineer op een kern van gerecycleerd vilt, αw 0,85.
- **Interior**, onze modulaire textielpanelen met afneembare, wasbare hoes, voor zones waar panelen vaak vervangen of verplaatst worden.
Hang panelen op oorhoogte tot ongeveer 2,2 m: daar gebeurt de reflectie van spraak. Een paneel boven de kasten doet veel minder dan hetzelfde paneel achter een bureau.
## 3. Zoneer met akoestische scheidingswanden
Een open kantoor van 40 werkplekken is akoestisch één ruimte. Verdeel ze in groepen van acht tot twaalf met vrijstaande, absorberende scheidingswanden. **Divide** is daarvoor gemaakt: modules met geïntegreerde voet die magnetisch aan elkaar koppelen, aan beide zijden absorberend, zonder montage. Ze breken de zichtlijn én de geluidslijn, en verhuizen mee als de teams van plaats wisselen.
## 4. Belcabines voor calls
De meeste overlast in een open kantoor komt van gesprekken die er niet horen: telefoontjes en videocalls. Elke call die in een cabine gebeurt, is er een die niet over de vloer klinkt. Een **Solo Flex** belcabine neemt 1 m² in, heeft een zit-stabureau, ventilatie van 4,6 m³/min, stroom en USB-C, en reduceert spraak met ongeveer 24 dB(A) (ISO 23351-1). Kostprijs vanaf € 2.740 excl. btw; reken op één cabine per acht tot tien werkplekken waar veel gebeld wordt. In [Belcabine voor kantoor: prijs, keuze en plaatsing](/nl/blog/belcabine-kantoor-prijs-keuze-plaatsing) rekenen we dat verder uit.
## 5. Vergaderpods in plaats van vergaderzalen bijbouwen
Wie te weinig vergaderzalen heeft, ziet vergaderingen op de vloer landen. Een **Modular XL** pod biedt plaats aan zes tot tien personen, groeit per segment van 90 cm, en staat er zonder bouwvergunning of verbouwing. **Duo** vangt de kleine overlegjes op: twee zitplaatsen voor een gesprek onder vier ogen, of één bureau over de volle breedte voor een halve dag geconcentreerd werk.
## 6. Zachte materialen en meubilair
Tapijttegels, gestoffeerde stoelen, gordijnen en boekenkasten absorberen elk een beetje. Alleen tapijt in plaats van gietvloer scheelt in een groot kantoor al merkbaar in het contactgeluid van stappen en stoelen. Reken deze maatregelen niet mee als hoofdabsorptie — een tapijt haalt geen αw 0,85 — maar neem ze mee in elke herinrichting.
## 7. Afspraken en indeling
De goedkoopste maatregel: leg de bellers samen, en zet ze niet naast de mensen die de hele dag geconcentreerd werken. Zet looproutes en koffiehoek niet dwars door de werkzones. Spreek af dat calls in de cabine gebeuren en dat groepsoverleg naar de pod verhuist. Zonder die afspraken vullen mensen de stilte die de panelen creëren opnieuw op.
## Wat kost het en waar begin je
Een realistische volgorde voor een open kantoor van 300 m² met dertig werkplekken:
1. **Meten** (halve dag) en het plafond aanpakken — het grootste effect per euro.
2. **Wandpanelen** op de twee lange wanden: 40 à 60 m² rPET Groove of rWood.
3. **Twee tot drie belcabines** en, als er vergaderzalen tekort zijn, één Duo of Modular XL.
4. **Divide-modules** tussen de teams en afspraken over gebruik.
Elke stap is los uit te voeren en te meten. Onze panelen leveren we uit voorraad in twee tot vier weken, cabines in vier tot zes weken, en aan het einde van hun levensduur nemen we alles gratis terug in de Benelux, Frankrijk en Duitsland. Re-Sound is een merk van Stretch Group; we produceren in onze eigen fabrieken in Beveren-Waas en Częstochowa, wat betekent dat je met de mensen praat die het product ontwerpen.
**Wil je weten waar jouw kantoor staat?** Vraag een gratis stalenpakket aan of boek een bezoek aan de showroom in Beveren-Waas, waar alle panelen en cabines geïnstalleerd staan.
## Veelgestelde vragen
**Wat is een goede nagalmtijd voor een open kantoor?**
Tussen 0,5 en 0,8 seconden, afhankelijk van de hoogte en de bezetting. Boven 1 seconde is absorptie (plafond, wanden) de eerste stap; rond 0,6 seconden en toch onrustig, dan helpen zoneren en belcabines meer.
**Helpen akoestische panelen tegen het lawaai van collega's?**
Ja, op twee manieren: ze verkorten de nagalm zodat het achtergrondniveau daalt, en ze verlagen de afstand waarop je collega's nog verstaat. Ze maken een gesprek op de vloer niet onhoorbaar; daarvoor dienen belcabines en pods.
**Hoeveel panelen heeft een open kantoor nodig?**
Als vuistregel 15 à 20 % van het vloeroppervlak aan absorptie van klasse A of B, bovenop een absorberend plafond. In [Hoeveel akoestische panelen heb je nodig?](/nl/blog/hoeveel-akoestische-panelen-nodig) rekenen we het voor drie ruimtes uit.
*Bronnen: ISO 22955:2021 (akoestische kwaliteit van open kantoren); ISO 3382-3 (spraakafname in open kantoren); ISO 3382-2 (nagalmtijdmeting); ISO 11654 (absorptieklassen); productgegevens Re-Sound.*</t>
  </si>
  <si>
    <t xml:space="preserve">BP-003</t>
  </si>
  <si>
    <t xml:space="preserve">pet vilt of hout akoestische panelen</t>
  </si>
  <si>
    <t xml:space="preserve">pet akoestische panelen, houten akoestische panelen, akoestische panelen vergelijken, akoestisch paneel fineer</t>
  </si>
  <si>
    <t xml:space="preserve">PET-vilt of houten akoestische panelen: wat kies je wanneer?</t>
  </si>
  <si>
    <t xml:space="preserve">PET-vilt of hout: welk akoestisch paneel kies je? | Re-Sound</t>
  </si>
  <si>
    <t xml:space="preserve">PET-vilt of hout? Vergelijk absorptie, uitzicht, brandklasse, duurzaamheid, verwerking, prijs en levertijd, met een beslistabel van de fabrikant.</t>
  </si>
  <si>
    <t xml:space="preserve">Hoe beide panelen geluid absorberen
Akoestische prestaties naast elkaar
Uitzicht en interieur
Brandveiligheid en emissies
Duurzaamheid: gerecycleerd versus hernieuwbaar
Verwerking, montage en onderhoud
Prijs en levertijd
Beslistabel: wanneer PET, wanneer hout
Veelgestelde vragen</t>
  </si>
  <si>
    <t xml:space="preserve">2026-11-03</t>
  </si>
  <si>
    <t xml:space="preserve">images/blog/pet-vilt-of-hout.jpg</t>
  </si>
  <si>
    <t xml:space="preserve">rPET Groove in grijs naast rWood Groove in eikenfineer, close-up van de groeven</t>
  </si>
  <si>
    <t xml:space="preserve">/nl/products/pet-akoestische-panelen, /nl/products/houten-akoestische-panelen, /nl/products/rpet-groove, /nl/products/rpet-panel, /nl/products/rwood-groove, /nl/products/rwood-micro, /nl/products/rwood-veneer, /nl/where-to-buy</t>
  </si>
  <si>
    <t xml:space="preserve">Vraag het gratis stalenpakket met beide materialen</t>
  </si>
  <si>
    <t xml:space="preserve">V: Absorbeert hout minder goed dan PET-vilt?
A: Niet bij onze reeksen: rPET Groove en rWood Groove halen allebei αw 0,85. Het verschil zit in het uitzicht, de brandklasse en de prijs, niet in de akoestiek.
V: Kan ik PET-panelen en houten panelen combineren?
A: Ja, en dat is vaak de beste oplossing: hout op de wand die je ziet, PET op de lange wanden of het plafond. Beide zijn met hetzelfde clipsysteem te monteren en samen terug te nemen.
V: Welk paneel is het duurzaamst?
A: rPET heeft het hoogste gerecycleerd gehalte (rPET Groove 100 %); rWood combineert FSC-fineer met een kern van gerecycleerd vilt en heeft voor rWood Panel een EPD. Beide nemen we aan het einde van hun levensduur gratis terug.</t>
  </si>
  <si>
    <t xml:space="preserve">ISO 11654 (geluidsabsorptieklassen); ASTM C423 (NRC); EN 13501-1 (brandclassificatie); OEKO-TEX® Standard 100; FSC; productgegevens en testrapporten Re-Sound rPET en rWood.</t>
  </si>
  <si>
    <t xml:space="preserve"># PET-vilt of houten akoestische panelen: wat kies je wanneer?
**Kort antwoord: akoestisch presteren onze PET- en houtpanelen bijna gelijk (αw 0,85 voor de gegroefde versies), dus je kiest op uitzicht, brandklasse, budget en duurzaamheidsverhaal.** PET-vilt is de keuze voor kleur, budget en zelf verwerken; hout voor warmte, representatieve ruimtes en de hoogste brandklasse in de micro-geperforeerde uitvoering. Hieronder de vergelijking punt voor punt, met de cijfers van onze eigen rPET- en rWood-reeksen.
## Hoe beide panelen geluid absorberen
**PET-vilt** is een dicht vezelpaneel, geperst uit gerecycleerde PET-flessen. Geluid dringt in de vezels en verliest daar zijn energie. Het paneel absorbeert dus over zijn volledige oppervlak; hoe dikker, hoe beter in de lage tonen.
**Houten akoestische panelen** zijn een fineer op een kern. Bij rWood is die kern gerecycleerd vilt, en zorgen groeven (rWood Groove), perforaties (rWood Perf) of micro-perforaties van 0,5 mm (rWood Micro) ervoor dat het geluid tot in de kern geraakt. Het hout is het gezicht; het vilt doet het werk.
Twee fysische wegen naar hetzelfde resultaat, met één praktisch verschil: bij PET absorbeert ook de rand en de achterzijde, bij hout enkel het bewerkte vlak. Daarom werkt PET iets vergevingsgezinder in vrijstaande toepassingen.
## Akoestische prestaties naast elkaar
| | rPET Groove | rWood Groove | rWood Micro |
|---|---|---|---|
| Geluidsabsorptie αw (ISO 11654) | 0,85 | 0,85 | hoog, dubbele werking* |
| NRC (ASTM C423) | 0,85 | 0,80 | — |
| Absorptieklasse | B | B | zie testrapport |
| Diktes | 12 / 24 / 36 mm | zie datasheet | zie datasheet |
*rWood Micro combineert de absorptie van de viltkern met het Helmholtz-effect van duizenden micro-perforaties; de exacte waarden per montagewijze staan in het testrapport.
Voor de meeste kantoren, scholen en horecazaken is klasse B (αw 0,80–0,85) het werkpaard; klasse A (αw ≥ 0,90) haal je met dikkere panelen, een luchtspouw achter het paneel, of met onze textielreeks Interior (αw 1,0). Wil je weten hoeveel m² je nodig hebt, lees dan [Hoeveel akoestische panelen heb je nodig?](/nl/blog/hoeveel-akoestische-panelen-nodig).
## Uitzicht en interieur
**PET** is kleur. rPET Groove komt in 12 kleuren, rPET Panel in 16, en beide laten zich bedrukken en frezen. Het resultaat is grafisch en modern: een gekleurde wand in een open kantoor, een logo in het vilt, ronde vormen in een kinderdagverblijf. rPET Flex Groove buigt bovendien om kolommen en gebogen wanden.
**Hout** is warmte. rWood Groove en Perf in eik en notelaar, rWood Panel in tien fineersoorten, rWood Micro met een bijna gesloten oppervlak dat van op twee meter als een strak houten paneel oogt. In directiekantoren, receptiezones, restaurants en aula's wint hout het bijna altijd op uitstraling, en het combineert met bestaande houten meubels en vloeren.
Vaak is het antwoord niet óf-óf: hout op de blikvangerwand, PET op de lange wanden en het plafond.
## Brandveiligheid en emissies
Voor publieke gebouwen is de brandklasse volgens EN 13501-1 vaak een harde eis.
- **rPET-reeks**: B-s1,d0 — beperkt brandbaar, weinig rookontwikkeling, geen brandende druppels. Dat is de hoogste praktische klasse voor een decoratief interieurmateriaal onder de A-klasse.
- **rWood Groove / Perf**: B-s2,d0 standaard.
- **rWood Micro**: B-s1,d0, geschikt voor de strengste eisen in publieke gebouwen.
Voor de binnenlucht: rPET is OEKO-TEX® Standard 100 gecertificeerd en getest op VOC-emissies volgens de Franse A+-klasse, de strengste. Voor het fineer van rWood werken we met FSC-gecertificeerd Europees hout; op aanvraag leveren we het chain-of-custody-certificaatnummer per levering.
## Duurzaamheid: gerecycleerd versus hernieuwbaar
Beide reeksen zijn circulair ontworpen, met een ander accent.
**rPET** vertrekt van post-consumer PET-flessen die gesorteerd, gewassen, versnipperd en tot vezel gesmolten worden; rPET Groove bestaat voor 100 % uit gerecycleerd PET. Aan het einde van de levensduur nemen we de panelen gratis terug en gaan ze opnieuw de keten in.
**rWood** combineert een hernieuwbare grondstof (FSC-fineer) met een kern van gerecycleerd vilt; rWood Groove bevat zo 60 % gerecycleerd materiaal. Bij terugname scheiden we fineer en kern; voor rWood Panel is een EPD (milieuproductverklaring) beschikbaar, handig voor BREEAM- en WELL-dossiers.
Wie op één cijfer selecteert, kiest PET (hoogste gerecycleerd gehalte). Wie een biobased uitstraling wil met een gedocumenteerde levenscyclus, kiest hout met EPD.
## Verwerking, montage en onderhoud
**PET laat zich bewerken als MDF**: zagen met een cirkelzaag of CNC, boren, schilderen met water- of solventgedragen verf, zonder speciale bescherming. Dat maakt het de favoriet van schrijnwerkers en interieurbouwers die panelen op maat in kasten, balies en wanden verwerken. Montage met clips of lijm; rPET Groove weegt weinig, dus ook plafonds zijn haalbaar.
**Hout vraagt precisie.** rWood Groove en Micro monteer je met een onzichtbaar clipsysteem (snel te plaatsen en te demonteren) of verlijmd voor vaste installaties. Over-gefineerde randen zorgen voor naadloze aansluitingen; zaagsneden op de werf zie je dus best te vermijden of vooraf in te plannen. Hout is gevoeliger voor stoten op hoeken en voor vocht.
**Onderhoud**: PET stofzuig je; vlekken behandel je plaatselijk. Hout stof je af en behandel je zoals een meubel. Beide reeksen zijn bedoeld om twintig jaar of langer mee te gaan.
## Prijs en levertijd
Per vierkante meter is PET-vilt het budgetvriendelijkste van de twee, hout het premiumproduct; de exacte prijs hangt af van dikte, patroon, fineersoort en hoeveelheid, dus vraag een offerte met je oppervlakte. Levertijden uit eigen productie:
- **rPET**: voorraadkleuren binnen 2 à 3 weken; maatkleuren 5 à 6 weken (voor projecten vanaf 200 m²).
- **rWood**: voorraadfineren binnen 3 à 4 weken; niet-voorraadsoorten en maatwerk 6 à 8 weken.
Grote projecten (vanaf 500 m²) plannen we in productiebatches met een bindende datum. Re-Sound is een merk van Stretch Group; we produceren in onze eigen fabrieken in Beveren-Waas (België) en Częstochowa (Polen).
## Beslistabel: wanneer PET, wanneer hout
| Je situatie | Kies |
|---|---|
| Kleur, grafisch ontwerp, logo's, ronde vormen | rPET Groove / rPET Panel |
| Gebogen wanden en kolommen | rPET Flex Groove |
| Zelf verwerken in meubels, balies, kasten | rPET Panel |
| Strengste brandklasse (B-s1,d0) in een publiek gebouw | rPET of rWood Micro |
| Representatieve ruimte, warmte, combinatie met houten interieur | rWood Groove / rWood Panel |
| Aula, auditorium, restaurant met hoge eisen aan uitzicht én absorptie | rWood Micro |
| Hoogste gerecycleerd gehalte | rPET |
| EPD nodig voor een certificeringsdossier | rWood Panel |
| Beperkt budget, groot oppervlak | rPET |
| Snelle levering | rPET (2–3 weken) |
Nog twijfel? Het gratis stalenpakket bevat A4-stalen van elke reeks en elke afwerking, verstuurd binnen drie werkdagen in de EU. Leg ze naast elkaar in de ruimte waarvoor ze bedoeld zijn; het licht ter plaatse beslist vaak sneller dan een catalogus.
## Veelgestelde vragen
**Absorbeert hout minder goed dan PET-vilt?**
Niet bij onze reeksen: rPET Groove en rWood Groove halen allebei αw 0,85. Het verschil zit in het uitzicht, de brandklasse en de prijs, niet in de akoestiek.
**Kan ik PET-panelen en houten panelen combineren?**
Ja, en dat is vaak de beste oplossing: hout op de wand die je ziet, PET op de lange wanden of het plafond. Beide zijn met hetzelfde clipsysteem te monteren en samen terug te nemen.
**Welk paneel is het duurzaamst?**
rPET heeft het hoogste gerecycleerd gehalte (rPET Groove 100 %); rWood combineert FSC-fineer met een kern van gerecycleerd vilt en heeft voor rWood Panel een EPD. Beide nemen we aan het einde van hun levensduur gratis terug.
*Bronnen: ISO 11654 (geluidsabsorptieklassen); ASTM C423 (NRC); EN 13501-1 (brandclassificatie); OEKO-TEX® Standard 100; FSC; productgegevens en testrapporten Re-Sound rPET en rWood.*</t>
  </si>
  <si>
    <t xml:space="preserve">BP-004</t>
  </si>
  <si>
    <t xml:space="preserve">hoeveel akoestische panelen nodig</t>
  </si>
  <si>
    <t xml:space="preserve">akoestische panelen berekenen, nagalmtijd berekenen, sabine formule, hoeveel m² akoestische panelen</t>
  </si>
  <si>
    <t xml:space="preserve">Hoeveel akoestische panelen heb je nodig? Rekenvoorbeeld per ruimte</t>
  </si>
  <si>
    <t xml:space="preserve">Hoeveel akoestische panelen nodig? 3 rekenvoorbeelden | Re-Sound</t>
  </si>
  <si>
    <t xml:space="preserve">Bereken hoeveel akoestische panelen een ruimte nodig heeft: formule van Sabine, richtwaarden en drie rekenvoorbeelden (vergaderzaal, kantoor, restaurant).</t>
  </si>
  <si>
    <t xml:space="preserve">De formule van Sabine in gewone taal
Welke nagalmtijd wil je?
Wat een paneel écht absorbeert: αw en klassen
Rekenvoorbeeld 1: vergaderzaal 56 m³
Rekenvoorbeeld 2: open kantoor 720 m³
Rekenvoorbeeld 3: restaurant 525 m³
Vuistregels als je snel wil schatten
Waar je de panelen hangt telt evenveel als hoeveel
Veelgestelde vragen</t>
  </si>
  <si>
    <t xml:space="preserve">2026-11-17</t>
  </si>
  <si>
    <t xml:space="preserve">images/blog/hoeveel-panelen-nodig.jpg</t>
  </si>
  <si>
    <t xml:space="preserve">Plattegrond van een vergaderzaal met ingetekende rPET Groove panelen op de lange wanden</t>
  </si>
  <si>
    <t xml:space="preserve">/nl/products/pet-akoestische-panelen, /nl/products/rpet-groove, /nl/products/interior, /nl/products/houten-akoestische-panelen, https://stretchplafond.be/products/acoustic-stretch-system, /nl/faq, /nl/where-to-buy</t>
  </si>
  <si>
    <t xml:space="preserve">Stuur ons de afmetingen van je ruimte en we rekenen het na</t>
  </si>
  <si>
    <t xml:space="preserve">V: Hoeveel akoestische panelen heb ik nodig voor een kantoor van 100 m²?
A: Zonder absorberend plafond en met een hoogte van 3 m reken je op 30 à 40 m² wandpanelen van klasse B (zoals rPET Groove) om van 1,2 naar 0,7 s te gaan. Met een absorberend plafond volstaat 10 à 15 m² op de wanden.
V: Maakt de dikte van het paneel veel uit?
A: Voor spraak (250–4000 Hz) doen 24 mm-panelen het werk; dikkere panelen of een luchtspouw erachter helpen vooral tegen lage tonen (installaties, muziek). Voor een kantoor of klas is 24 mm de standaardkeuze.
V: Kan ik te veel panelen hangen?
A: Ja: onder 0,4 s klinkt een ruimte dof en gaan mensen luider praten omdat ze zichzelf niet meer horen. Mik op de richtwaarde en verdeel de panelen over de ruimte.</t>
  </si>
  <si>
    <t xml:space="preserve">W.C. Sabine, Collected Papers on Acoustics (formule van Sabine); ISO 11654 (absorptieklassen); ISO 3382-2 (meting van de nagalmtijd); NBN S 01-400-2 (akoestische criteria voor schoolgebouwen); productgegevens Re-Sound.</t>
  </si>
  <si>
    <t xml:space="preserve"># Hoeveel akoestische panelen heb je nodig? Rekenvoorbeeld per ruimte
**Het aantal akoestische panelen dat je nodig hebt, volgt uit drie getallen: het volume van de ruimte, de nagalmtijd die je nu hebt en de nagalmtijd die je wil.** Met de formule van Sabine reken je in vijf minuten uit hoeveel vierkante meter absorptie er bij moet, en met de absorptiewaarde van het paneel vertaal je dat naar panelen. Hieronder de methode, de richtwaarden en drie uitgewerkte voorbeelden: een vergaderzaal, een open kantoor en een restaurant.
## De formule van Sabine in gewone taal
Nagalmtijd (RT60 of T) is de tijd die geluid nodig heeft om 60 dB uit te sterven nadat de bron stopt. Sabine schreef ze rond 1900 als:
**T = 0,161 × V / A**
- **V** is het volume van de ruimte in m³ (lengte × breedte × hoogte).
- **A** is de totale absorptie in de ruimte in m² sabine: elk oppervlak vermenigvuldigd met zijn absorptiecoëfficiënt.
Omgekeerd geldt dus: **A = 0,161 × V / T**. Bereken A voor de nagalmtijd die je nu meet en voor de nagalmtijd die je wil; het verschil is de absorptie die je moet toevoegen. Deel dat verschil door de αw van het paneel en je hebt het aantal m² panelen.
De formule is een benadering (ze veronderstelt een gelijkmatig verdeelde absorptie en werkt per frequentieband), maar voor kantoren, klassen en horeca is ze nauwkeurig genoeg om een offerte op te baseren.
## Welke nagalmtijd wil je?
Richtwaarden die wij bij Re-Sound hanteren, in seconden, voor de middenfrequenties (500–2000 Hz):
| Ruimte | Streefwaarde |
|---|---|
| Vergaderzaal, videocallruimte | ≤ 0,6 s |
| Open kantoor | 0,5 – 0,8 s |
| Klaslokaal | 0,6 – 0,8 s (zie de norm NBN S 01-400-2) |
| Restaurant, café | 0,6 – 0,8 s |
| Woonkamer, thuiskantoor | 0,5 – 0,7 s |
| Sporthal, refter | 1,0 – 1,5 s |
Een harde ruimte met glas, gips en een gietvloer zit vandaag vaak tussen 1,0 en 1,5 s. Meet je niet, dan neem je voor een schatting 1,2 s voor een leeg kantoor en 1,4 s voor een leeg restaurant met tegelvloer. Een meting volgens ISO 3382-2 is beter; die doen we op aanvraag.
## Wat een paneel écht absorbeert: αw en klassen
De **αw** (ISO 11654) is de gewogen absorptiecoëfficiënt van een paneel, van 0 (kaatst alles) tot 1 (absorbeert alles). ISO 11654 deelt ze in klassen:
| Klasse | αw |
|---|---|
| A | 0,90 – 1,00 |
| B | 0,80 – 0,85 |
| C | 0,60 – 0,75 |
| D | 0,30 – 0,55 |
| E | 0,15 – 0,25 |
Onze reeksen: **Interior** (textiel) αw 1,0, klasse A. **rPET Groove** en **rWood Groove** αw 0,85, klasse B. Dikkere panelen en een luchtspouw achter het paneel verbeteren vooral de lage tonen; voor spraak (250–4000 Hz) doen 24 mm-panelen het werk.
Reken altijd met het effectieve oppervlak van het paneel: een rPET Groove-paneel van 2.400 × 600 mm telt voor 1,44 m².
## Rekenvoorbeeld 1: vergaderzaal 56 m³
Zaal van 5 × 4 m, 2,8 m hoog, tapijttegels, zes gestoffeerde stoelen, glazen wand. Gemeten nagalmtijd: **0,9 s**. Doel: **0,6 s** voor verstaanbare videocalls.
- A nu = 0,161 × 56 / 0,9 = **10,0 m² sabine**
- A doel = 0,161 × 56 / 0,6 = **15,0 m² sabine**
- Toe te voegen: **5,0 m² sabine**
Met rPET Groove (αw 0,85): 5,0 / 0,85 = **5,9 m² panelen** — vijf panelen van 2.400 × 600 mm (7,2 m²) op de lange wand tegenover het scherm en op de wand achter de sprekers. Met Interior (αw 1,0) volstaat 5 m². Dat is ongeveer 30 % van het vloeroppervlak: normaal voor een kleine ruimte zonder absorberend plafond.
## Rekenvoorbeeld 2: open kantoor 720 m³
Vloer van 20 × 12 m, 3 m hoog, 30 werkplekken, gietvloer, betonplafond. Geschat: **1,2 s**. Doel: **0,7 s**.
- A nu = 0,161 × 720 / 1,2 = **96,6 m² sabine**
- A doel = 0,161 × 720 / 0,7 = **165,6 m² sabine**
- Toe te voegen: **69 m² sabine**
Alles op de wanden zetten zou 69 / 0,85 = 81 m² panelen vragen, meer dan de helft van de twee lange wanden. Beter verdeeld:
- **Plafond**: 50 m² absorberende plafondelementen van klasse A (αw 0,9) = 45 m² sabine. Een akoestisch spanplafond over het hele vlak doet nog meer; ons zusterbedrijf STRETCH plaatst dat in één dag.
- **Wanden**: 30 m² rPET Groove (αw 0,85) = 25,5 m² sabine op de reflectiepunten.
- Samen **70,5 m² sabine** — doel gehaald, met een zichtbaar rustiger vloer.
Voor de calls die daarna nog storen zijn er geen panelen die helpen; daar dienen [belcabines](/nl/products/akoestische-belcabines) voor.
## Rekenvoorbeeld 3: restaurant 525 m³
Zaal van 15 × 10 m, 3,5 m hoog, tegelvloer, veel glas, 60 couverts. Leeg gemeten: **1,4 s**. Doel: **0,7 s**.
- A nu = 0,161 × 525 / 1,4 = **60,4 m² sabine**
- A doel = 0,161 × 525 / 0,7 = **120,8 m² sabine**
- Toe te voegen: **60,4 m² sabine**
Voorstel: **55 m² plafond** in klasse A (49,5 m² sabine) plus **15 m² rWood Micro** op de wand achter de banken (bij αw 0,85 zo'n 12,8 m² sabine) = 62 m² sabine. De gasten zelf brengen nog absorptie mee (reken op 0,4 tot 0,5 m² sabine per persoon), waardoor de zaal bij volle bezetting onder 0,6 s duikt. Meer over de keuzes per zone in [Akoestische panelen voor restaurants](/nl/blog/akoestische-panelen-restaurant).
## Vuistregels als je snel wil schatten
Als je geen meting hebt en een eerste budget wil:
- **Met een absorberend plafond** (60–80 % van het plafondoppervlak in klasse A): voeg 10 à 15 % van het vloeroppervlak toe aan wandpanelen van klasse A of B.
- **Zonder plafondbehandeling**: reken op 30 à 50 % van het vloeroppervlak aan wandpanelen; hoe hoger de ruimte, hoe meer.
- **Kleine, harde ruimtes** (vergaderzalen, videocallruimtes) vragen procentueel het meest; grote ruimtes met veel meubilair het minst.
- **Per persoon** die de ruimte gebruikt, kan je 0,4 tot 0,5 m² sabine aftrekken van wat je nodig hebt — maar reken de ruimte leeg door, want dat is hoe ze 's ochtends klinkt.
## Waar je de panelen hangt telt evenveel als hoeveel
Sabine gaat uit van gelijkmatig verdeelde absorptie; in de praktijk haal je meer uit dezelfde panelen door ze slim te plaatsen:
1. **Op oorhoogte** (1,0 tot 2,2 m), waar spraak reflecteert; niet boven kasten.
2. **Op twee wanden die een hoek vormen**, niet twee wanden tegenover elkaar — zo breek je flutterecho's.
3. **Tegenover de geluidsbron**: de wand tegenover het scherm in een vergaderzaal, de wand tegenover de bar in een restaurant.
4. **Verspreid over de ruimte** in plaats van één groot blok.
Twijfel je over de berekening? Stuur ons de afmetingen (lengte, breedte, hoogte), de vloer- en plafondafwerking en, als je die hebt, de gemeten nagalmtijd. We rekenen het na en sturen een voorstel met het aantal panelen per wand. Re-Sound is een merk van Stretch Group; we produceren in onze eigen fabrieken in Beveren-Waas en Częstochowa, dus de berekening en het product komen van dezelfde mensen.
## Veelgestelde vragen
**Hoeveel akoestische panelen heb ik nodig voor een kantoor van 100 m²?**
Zonder absorberend plafond en met een hoogte van 3 m reken je op 30 à 40 m² wandpanelen van klasse B (zoals rPET Groove) om van 1,2 naar 0,7 s te gaan. Met een absorberend plafond volstaat 10 à 15 m² op de wanden.
**Maakt de dikte van het paneel veel uit?**
Voor spraak (250–4000 Hz) doen 24 mm-panelen het werk; dikkere panelen of een luchtspouw erachter helpen vooral tegen lage tonen (installaties, muziek). Voor een kantoor of klas is 24 mm de standaardkeuze.
**Kan ik te veel panelen hangen?**
Ja: onder 0,4 s klinkt een ruimte dof en gaan mensen luider praten omdat ze zichzelf niet meer horen. Mik op de richtwaarde en verdeel de panelen over de ruimte.
*Bronnen: W.C. Sabine, Collected Papers on Acoustics (formule van Sabine); ISO 11654 (absorptieklassen); ISO 3382-2 (meting van de nagalmtijd); NBN S 01-400-2 (akoestische criteria voor schoolgebouwen); productgegevens Re-Sound.*</t>
  </si>
  <si>
    <t xml:space="preserve">BP-005</t>
  </si>
  <si>
    <t xml:space="preserve">nagalmtijd klaslokaal norm</t>
  </si>
  <si>
    <t xml:space="preserve">akoestiek klaslokaal, NBN S 01-400-2 nagalmtijd, akoestische panelen school, nagalm school verbeteren</t>
  </si>
  <si>
    <t xml:space="preserve">Nagalmtijd in klaslokalen: normen, metingen en oplossingen</t>
  </si>
  <si>
    <t xml:space="preserve">Nagalmtijd in klaslokalen: norm, meting en oplossing | Re-Sound</t>
  </si>
  <si>
    <t xml:space="preserve">Wat zegt NBN S 01-400-2 over nagalm in klaslokalen, hoe meet je en hoeveel absorptie is nodig? Rekenvoorbeeld en oplossingen die in een school standhouden.</t>
  </si>
  <si>
    <t xml:space="preserve">Waarom nagalm in een klas meer kost dan je denkt
De norm in België: NBN S 01-400-2
Hoe je nagalmtijd meet (en wat je mist als je niet meet)
Rekenvoorbeeld: van 1,2 naar 0,6 seconden
Oplossingen die in een school standhouden
Brandklasse, emissies en onderhoud
Planning: zomervakantie, bestek en terugname
Veelgestelde vragen</t>
  </si>
  <si>
    <t xml:space="preserve">2026-12-01</t>
  </si>
  <si>
    <t xml:space="preserve">images/blog/nagalmtijd-klaslokaal.jpg</t>
  </si>
  <si>
    <t xml:space="preserve">Klaslokaal met rPET Groove panelen op de achterwand en een absorberend plafond</t>
  </si>
  <si>
    <t xml:space="preserve">/nl/applications/onderwijs, /nl/products/pet-akoestische-panelen, /nl/products/rpet-groove, /nl/products/interior, /nl/products/rwood-micro, /nl/products/divide, https://stretchplafond.be/products/acoustic-stretch-system, /nl/where-to-buy</t>
  </si>
  <si>
    <t xml:space="preserve">Vraag de bestektekst en een stalenpakket voor je school</t>
  </si>
  <si>
    <t xml:space="preserve">V: Welke nagalmtijd is verplicht in een klaslokaal?
A: NBN S 01-400-2 legt per lokaaltype en volume een maximale nominale nagalmtijd op; voor een standaardklas komt dat in de praktijk neer op ongeveer 0,6 tot 0,8 s (normaal comfort), strenger voor verhoogd comfort. Laat de exacte eis berekenen door je architect of akoesticus.
V: Volstaan wandpanelen alleen in een klas?
A: Meestal niet zonder veel wandoppervlak in te nemen: het plafond is het grootste vlak en het efficiëntst. Plafond plus achterwand is de combinatie die in de meeste klassen de norm haalt.
V: Hoe snel kan een school geplaatst worden?
A: Voorraadkleuren rPET leveren we in 2 à 3 weken; een gemiddelde klas plaatst een team op een halve dag. Bestel vóór eind mei om zeker in de zomervakantie te plaatsen.</t>
  </si>
  <si>
    <t xml:space="preserve">NBN S 01-400-2:2012 (akoestische criteria voor schoolgebouwen); DIN 18041:2016 (Hörsamkeit in Räumen); ISO 3382-2 (meting van de nagalmtijd); ISO 11654 (absorptieklassen); EN 13501-1 (brandclassificatie); productgegevens Re-Sound.</t>
  </si>
  <si>
    <t xml:space="preserve"># Nagalmtijd in klaslokalen: normen, metingen en oplossingen
**In een klaslokaal beslist de nagalmtijd of leerlingen de leerkracht verstaan en of de leerkracht om 16 uur nog stem heeft.** De Belgische norm NBN S 01-400-2 legt voor schoolgebouwen maximale nagalmtijden vast; in de praktijk komt dat voor een gewoon klaslokaal neer op ongeveer 0,6 tot 0,8 seconden, terwijl een onbehandeld lokaal met gips, glas en een tegelvloer vaak boven 1 seconde zit. Dit artikel legt uit wat de norm vraagt, hoe je meet, hoeveel absorptie je nodig hebt en welke oplossingen tien schooljaren meegaan.
## Waarom nagalm in een klas meer kost dan je denkt
Spraakverstaanbaarheid daalt snel zodra de nagalm boven 0,8 s komt: de lettergrepen van de leerkracht lopen in elkaar over, zeker achteraan in de klas en voor leerlingen die een andere thuistaal spreken of minder goed horen. De leerkracht compenseert door luider te spreken (het Lombard-effect), de leerlingen ook, en het lokaal wordt nog luider. Het resultaat is bekend uit onderzoek naar stemklachten bij leerkrachten en uit klachten over concentratie in open leeromgevingen. De oplossing is goedkoper dan de klachten: absorptie toevoegen op het plafond en op de achterwand.
## De norm in België: NBN S 01-400-2
NBN S 01-400-2 (2012) bevat de akoestische criteria voor schoolgebouwen. De norm behandelt de luchtgeluidisolatie tussen lokalen, het contactgeluid, het lawaai van installaties en de **nagalmtijd** per lokaaltype. Voor de nagalmtijd geldt:
- De eis is een **maximale nominale nagalmtijd** die afhangt van het lokaaltype en het volume; ze wordt beoordeeld in het ingerichte, onbezette lokaal.
- De norm kent twee niveaus: **normaal akoestisch comfort** (de basiseis) en **verhoogd akoestisch comfort** (strenger, aangewezen voor leerlingen met gehoor- of taalproblemen).
- Naast klaslokalen zijn er aparte eisen voor onder meer refters, sportzalen, gangen en aula's — ruimtes waar de nagalm traditioneel het hoogst is.
Voor een standaardklas van 180 tot 250 m³ landt de eis in de praktijk tussen 0,6 en 0,8 s. Ter vergelijking: de Duitse norm DIN 18041 rekent voor lesruimtes met T = 0,32·log(V) − 0,17, wat voor 200 m³ op 0,57 s uitkomt. Laat de exacte eis voor jouw lokaal berekenen door de architect of akoesticus; het volume en de bestemming bepalen het cijfer. Wat de norm niet doet, is zeggen welk materiaal je moet gebruiken — dat is de keuze van de school.
## Hoe je nagalmtijd meet (en wat je mist als je niet meet)
Een nagalmtijdmeting volgens ISO 3382-2 duurt per lokaal een halfuur: een korte impuls of ruis, een microfoon op enkele posities, en een meting per octaafband van 125 tot 4000 Hz. Wat je daaruit leert en niet uit een schatting:
- **Per frequentie**: veel lokalen galmen vooral in de lage tonen, waar dunne panelen weinig doen. Dan kies je dikkere panelen of een luchtspouw.
- **Leeg versus ingericht**: de norm beoordeelt het ingerichte lokaal. Kasten, tafels en gordijnen tellen mee, maar minder dan men hoopt.
- **Voor en na**: een meting vóór de werken en één erna is het bewijs voor het schoolbestuur en, bij subsidiedossiers, voor de subsidiërende overheid.
Bij Re-Sound meten we op aanvraag; voor een eerste raming volstaan de afmetingen van het lokaal.
## Rekenvoorbeeld: van 1,2 naar 0,6 seconden
Klas van 8 × 7 m, 3,2 m hoog (179 m³), tegelvloer, gipsplafond, één glaswand. Gemeten: **1,2 s**. Doel: **0,6 s**.
Met de formule van Sabine (A = 0,161 × V / T):
- A nu = 0,161 × 179 / 1,2 = **24 m² sabine**
- A doel = 0,161 × 179 / 0,6 = **48 m² sabine**
- Toe te voegen: **24 m² sabine**
Voorstel: **30 m² absorberend plafond** van klasse A (αw 0,9), goed voor 27 m² sabine, plus **vier panelen rPET Groove** van 2.400 × 600 mm op de achterwand (5,8 m², αw 0,85, 4,9 m² sabine). Samen 32 m² sabine: ruim boven de 24 die nodig zijn, zodat het lokaal ook leeg onder 0,6 s blijft en er marge is voor de lage tonen. Hoe je zelf rekent, staat in [Hoeveel akoestische panelen heb je nodig?](/nl/blog/hoeveel-akoestische-panelen-nodig).
## Oplossingen die in een school standhouden
Een school is geen kantoor: er wordt tegen de wand geleund, met stoelen geschoven en met natte sponzen gewerkt. Onze aanbevelingen per zone:
- **Plafond eerst.** Een akoestisch spanplafond (naadloos, in één dag geplaatst door ons zusterbedrijf STRETCH) of plafondpanelen in gerecycleerd PET halen het grootste deel van de nagalm weg zonder wandoppervlak in te nemen.
- **Achterwand en zijwand.** [rPET Groove](/nl/products/rpet-groove): 12 kleuren, 24 mm, αw 0,85, te bewerken als MDF en makkelijk te vervangen per paneel. Op oorhoogte van de leerlingen, niet boven de kasten.
- **Kleuterklassen en zorglokalen.** [Interior](/nl/products/interior): modulaire textielpanelen (αw 1,0, klasse A) met een afneembare, wasbare hoes.
- **Refter, aula en polyvalente zaal.** [rWood Micro](/nl/products/rwood-micro): micro-geperforeerd houtfineer met brandklasse B-s1,d0, representatief genoeg voor de aula en absorberend genoeg voor de refter.
- **Open leeromgevingen.** [Divide](/nl/products/divide): vrijstaande, magnetisch koppelbare scheidingswanden die leerzones afbakenen zonder muren te bouwen.
## Brandklasse, emissies en onderhoud
Voor schoolgebouwen zijn de brandklasse en de binnenluchtkwaliteit even belangrijk als de akoestiek:
- **Brandklasse (EN 13501-1)**: rPET-panelen en rWood Micro zijn B-s1,d0 — beperkt brandbaar, weinig rook, geen brandende druppels. rWood Groove en Perf zijn B-s2,d0.
- **Emissies**: rPET is OEKO-TEX® Standard 100 gecertificeerd en getest volgens de Franse VOC-klasse A+, de strengste voor binnenlucht.
- **Onderhoud**: PET-vilt stofzuig je en behandel je plaatselijk bij vlekken; de hoezen van Interior gaan in de wasmachine. Beschadigde panelen vervang je per stuk, zonder de wand te herschilderen.
- **Herkomst**: het fineer van rWood is FSC-gecertificeerd; het certificaatnummer leveren we op aanvraag per levering.
## Planning: zomervakantie, bestek en terugname
De meeste scholen plaatsen akoestiek in de zomervakantie. Reken terug vanaf de eerste schooldag:
1. **Meting en voorstel** in het voorjaar; goedkeuring door het schoolbestuur.
2. **Bestek**: voor elk product leveren we een bestektekst met αw, klasse, brandklasse, formaat, dikte en gerecycleerd gehalte, zodat een aanbesteding zonder merknaam kan.
3. **Bestelling vóór eind mei**: voorraadkleuren rPET leveren we in 2 à 3 weken, rWood-voorraadfineren in 3 à 4 weken; maatkleuren en niet-voorraadfineren 5 à 8 weken.
4. **Plaatsing** in juli, meting in augustus, klaar voor september.
Aan het einde van de levensduur — of bij een verbouwing — nemen we de panelen gratis terug in België, Nederland, Frankrijk, Duitsland en Luxemburg; het materiaal gaat opnieuw onze productie in. Re-Sound is een merk van Stretch Group en produceert in eigen fabrieken in Beveren-Waas (België) en Częstochowa (Polen).
**Aan de slag?** Vraag het gratis stalenpakket aan (A4-stalen van elke reeks, verstuurd binnen drie werkdagen) en de bestekteksten voor je dossier, of boek een bezoek aan de showroom in Beveren-Waas.
## Veelgestelde vragen
**Welke nagalmtijd is verplicht in een klaslokaal?**
NBN S 01-400-2 legt per lokaaltype en volume een maximale nominale nagalmtijd op; voor een standaardklas komt dat in de praktijk neer op ongeveer 0,6 tot 0,8 s (normaal comfort), strenger voor verhoogd comfort. Laat de exacte eis berekenen door je architect of akoesticus.
**Volstaan wandpanelen alleen in een klas?**
Meestal niet zonder veel wandoppervlak in te nemen: het plafond is het grootste vlak en het efficiëntst. Plafond plus achterwand is de combinatie die in de meeste klassen de norm haalt.
**Hoe snel kan een school geplaatst worden?**
Voorraadkleuren rPET leveren we in 2 à 3 weken; een gemiddelde klas plaatst een team op een halve dag. Bestel vóór eind mei om zeker in de zomervakantie te plaatsen.
*Bronnen: NBN S 01-400-2:2012 (akoestische criteria voor schoolgebouwen); DIN 18041:2016 (Hörsamkeit in Räumen); ISO 3382-2 (meting van de nagalmtijd); ISO 11654 (absorptieklassen); EN 13501-1 (brandclassificatie); productgegevens Re-Sound.*</t>
  </si>
  <si>
    <t xml:space="preserve">BP-006</t>
  </si>
  <si>
    <t xml:space="preserve">akoestiek restaurant verbeteren, geluidsoverlast restaurant, akoestische panelen horeca, nagalm restaurant</t>
  </si>
  <si>
    <t xml:space="preserve">Akoestische panelen voor restaurants: minder lawaai, langere tafels</t>
  </si>
  <si>
    <t xml:space="preserve">Akoestische panelen voor restaurants: minder lawaai | Re-Sound</t>
  </si>
  <si>
    <t xml:space="preserve">Te luid restaurant? Welke nagalmtijd past bij je concept, waar panelen het meest opbrengen, brandklasse voor horeca en een rekenvoorbeeld voor 100 m².</t>
  </si>
  <si>
    <t xml:space="preserve">Het Lombard-effect: waarom je restaurant zichzelf luider maakt
Welke nagalmtijd past bij welk concept
Plafond eerst
Wanden: warm hout of kleur
Tussen de tafels
Brandveiligheid en onderhoud in horeca
Rekenvoorbeeld voor 100 m²
Fasering en budget
Veelgestelde vragen</t>
  </si>
  <si>
    <t xml:space="preserve">2026-12-15</t>
  </si>
  <si>
    <t xml:space="preserve">images/blog/akoestische-panelen-restaurant.jpg</t>
  </si>
  <si>
    <t xml:space="preserve">Restaurant met rWood Micro wandpanelen in eik achter de banken en een akoestisch plafond</t>
  </si>
  <si>
    <t xml:space="preserve">/nl/applications/horeca, /nl/products/houten-akoestische-panelen, /nl/products/rwood-micro, /nl/products/rwood-groove, /nl/products/rpet-groove, /nl/products/divide, /nl/products/interior, https://stretchplafond.be/products/acoustic-stretch-system, /nl/where-to-buy</t>
  </si>
  <si>
    <t xml:space="preserve">Vraag een demonstratie op locatie of het stalenpakket</t>
  </si>
  <si>
    <t xml:space="preserve">V: Welke akoestische panelen zijn geschikt voor een restaurant?
A: Voor het plafond een akoestisch spanplafond of PET-plafondpanelen; voor de wanden rWood Micro of Groove (hout) en rPET Groove (kleur), allemaal met brandklasse B-s1,d0 of B-s2,d0 en een certificaat voor je brandveiligheidsdossier.
V: Hoeveel panelen heeft een restaurant van 100 m² nodig?
A: Ongeveer 35 m² absorberend plafond plus 8 à 15 m² wandpanelen om van 1,4 naar 0,7 s te gaan. Met een meting rekenen we het exact uit.
V: Kan de plaatsing tussen twee diensten?
A: Een akoestisch spanplafond wordt in één dag geplaatst zonder stof; wandpanelen plaatst een team in een halve dag; Divide-modules vragen geen montage.</t>
  </si>
  <si>
    <t xml:space="preserve">ISO 3382-2 (meting van de nagalmtijd); ISO 11654 (absorptieklassen); EN 13501-1 (brandclassificatie); W.C. Sabine (nagalmformule); productgegevens en testrapporten Re-Sound.</t>
  </si>
  <si>
    <t xml:space="preserve"># Akoestische panelen voor restaurants: minder lawaai, langere tafels
**In een restaurant met een nagalmtijd boven 1 seconde praten gasten luider, blijven ze korter en schrijven ze het in hun review.** Akoestische panelen op het plafond en op de wanden achter de banken brengen de nagalm terug naar 0,6 à 0,8 seconden: gesprekken blijven aan de tafel, de sfeer blijft levendig, en de zaal klinkt vol zonder luid te zijn. Dit artikel legt uit welke nagalmtijd bij welk concept past, waar panelen het meest opbrengen, wat de brandklasse voor horeca vraagt en wat een zaal van 100 m² nodig heeft.
## Het Lombard-effect: waarom je restaurant zichzelf luider maakt
Harde vloeren, glas, een open keuken en een betonplafond kaatsen elk gesprek meermaals door de zaal. Wie zijn tafelgenoot niet meer verstaat, praat luider; de tafel ernaast doet hetzelfde. Dat opbod — het Lombard-effect — is de reden dat een zaal met veertig gasten op vrijdagavond twee keer zo luid klinkt als met twintig. Het is ook de reden dat "te luid" in restaurantreviews zo vaak terugkomt, en dat gasten na de hoofdgang niet blijven voor dessert en koffie. Absorptie breekt de spiraal: minder nagalm, lager achtergrondniveau, en gasten die weer op normaal volume praten.
## Welke nagalmtijd past bij welk concept
Er is geen wettelijke eis voor de nagalmtijd in een restaurant, wel een duidelijke praktijk:
| Concept | Streefwaarde |
|---|---|
| Fine dining, hotelrestaurant | 0,5 – 0,6 s |
| Brasserie, bistro | 0,6 – 0,8 s |
| Bar, foodhall, feestzaal | 0,8 – 1,0 s (levendig, maar verstaanbaar aan tafel) |
Een onbehandelde zaal met tegels en glas meet leeg vaak 1,2 tot 1,6 s. Gasten brengen zelf absorptie mee (reken op 0,4 tot 0,5 m² sabine per persoon), dus een zaal die leeg 0,8 s haalt, zit vol rond 0,6 s. Ontwerp op de lege zaal; de volle zaal komt dan vanzelf goed.
## Plafond eerst
Het plafond is het grootste vlak en het enige dat geen tafel, deur of kunstwerk in de weg heeft. Twee routes:
- **Akoestisch spanplafond**: een geperforeerd doek met absorptie erachter, naadloos tot 5 m breed, in matte kleuren of bedrukt, in één dag geplaatst zonder stof — ideaal voor een verbouwing tussen twee diensten. Ons zusterbedrijf STRETCH plaatst ze; lees meer op [stretchplafond.be](https://stretchplafond.be/products/acoustic-stretch-system).
- **Plafondpanelen of eilanden** in gerecycleerd PET waar het plafond zichtbaar moet blijven, bijvoorbeeld boven een open keuken of onder een historische structuur.
Vuistregel: 50 tot 70 % van het plafond absorberend maken lost het grootste deel van het probleem op; de wanden doen de rest.
## Wanden: warm hout of kleur
Wandpanelen bepalen de sfeer én breken de reflecties tussen de lange wanden.
- **[rWood Micro](/nl/products/rwood-micro)**: micro-geperforeerd houtfineer dat van op twee meter als een strak houten wand oogt. Brandklasse B-s1,d0, ook met verlichting van achteren mogelijk. De keuze voor fine dining en hotelrestaurants.
- **[rWood Groove](/nl/products/rwood-groove)**: gegroefd eiken- of notenfineer op een kern van gerecycleerd vilt, αw 0,85. Warmte en ritme voor brasserie en bistro.
- **[rPET Groove](/nl/products/rpet-groove)**: gerecycleerd PET-vilt in 12 kleuren, αw 0,85, B-s1,d0 — voor concepten met kleur, of achter banken waar hout te kwetsbaar is.
- **[Interior](/nl/products/interior)**: textielpanelen met afneembare, wasbare hoes (αw 1,0, klasse A) voor zones waar gemorst wordt.
Plaats wandpanelen op oorhoogte van zittende gasten (0,9 tot 1,8 m) en vooral op de wand achter de banken en tegenover de bar of open keuken: daar komt het meeste geluid vandaan en daar reflecteert het het hardst.
## Tussen de tafels
Als het plafond en de wanden behandeld zijn en het blijft luid aan de grote tafels, helpen vrijstaande absorberende scheidingswanden. [Divide](/nl/products/divide) koppelt magnetisch, absorbeert aan beide zijden en verplaatst mee wanneer de zaal voor een feest anders wordt ingedeeld. Een Divide-module tussen twee tafels van acht maakt van één luide groep twee gesprekken.
## Brandveiligheid en onderhoud in horeca
Horeca valt onder strenge brandvoorschriften, en de brandweer kijkt naar wand- en plafondbekleding.
- **Brandklasse (EN 13501-1)**: rPET-panelen en rWood Micro zijn B-s1,d0 (beperkt brandbaar, weinig rook, geen brandende druppels); rWood Groove en Perf zijn B-s2,d0. Vraag altijd het certificaat en bewaar het in je brandveiligheidsdossier — wij leveren het mee.
- **Vet en vocht**: geen absorberend paneel hoort recht boven een frituur of gril. Boven de open keuken werkt een akoestisch spanplafond op afstand beter dan panelen dichtbij.
- **Reiniging**: PET-vilt stofzuig je en behandel je plaatselijk; hout behandel je als een meubel; de hoezen van Interior gaan in de wasmachine. Een beschadigd paneel vervang je per stuk.
- **Emissies**: rPET is OEKO-TEX® Standard 100 gecertificeerd en getest volgens de Franse VOC-klasse A+.
## Rekenvoorbeeld voor 100 m²
Zaal van 12,5 × 8 m, 3,2 m hoog (320 m³), tegelvloer, veel glas, 50 couverts. Leeg gemeten: **1,4 s**. Doel: **0,7 s** (brasserie).
Met de formule van Sabine (A = 0,161 × V / T):
- A nu = 0,161 × 320 / 1,4 = **36,8 m² sabine**
- A doel = 0,161 × 320 / 0,7 = **73,6 m² sabine**
- Toe te voegen: **36,8 m² sabine**
Voorstel: **35 m² plafond** van klasse A (αw 0,9 → 31,5 m² sabine) plus **8 m² rWood Micro** achter de banken (bij αw 0,85 zo'n 6,8 m² sabine) = 38,3 m² sabine. Vol bezet (50 gasten, ± 22 m² sabine extra) zakt de zaal tot ongeveer 0,5 s: fine-diningniveau tijdens de dienst, levendig genoeg bij het aperitief. De methode staat stap voor stap in [Hoeveel akoestische panelen heb je nodig?](/nl/blog/hoeveel-akoestische-panelen-nodig).
## Fasering en budget
Niet elke zaak kan een week dicht. Een fasering die werkt:
1. **Meten** (een halfuur, op een stille ochtend) en het plafond aanpakken: het grootste effect, in één dag bij een spanplafond.
2. **De wand achter de banken** en de wand tegenover de bar: 8 à 15 m² rWood of rPET, geplaatst op een sluitingsdag.
3. **Divide-modules** bij de grote tafels als sluitstuk, zonder montage.
4. **Nameten** en het resultaat gebruiken in je communicatie — "je hoort elkaar" is een verkoopargument.
Levertijden uit eigen productie: rPET-voorraadkleuren in 2 à 3 weken, rWood-voorraadfineren in 3 à 4 weken. Aan het einde van hun levensduur, of bij een nieuw concept, nemen we de panelen gratis terug in de Benelux, Frankrijk en Duitsland. Re-Sound is een merk van Stretch Group; we produceren in onze eigen fabrieken in Beveren-Waas (België) en Częstochowa (Polen).
**Wil je het effect horen voor je beslist?** We komen met panelen en een meetset naar je zaak in België, Nederland, Luxemburg en Noord-Frankrijk, of je bezoekt de showroom in Beveren-Waas waar elke reeks geïnstalleerd staat. Het gratis stalenpakket met alle afwerkingen sturen we binnen drie werkdagen.
## Veelgestelde vragen
**Welke akoestische panelen zijn geschikt voor een restaurant?**
Voor het plafond een akoestisch spanplafond of PET-plafondpanelen; voor de wanden rWood Micro of Groove (hout) en rPET Groove (kleur), allemaal met brandklasse B-s1,d0 of B-s2,d0 en een certificaat voor je brandveiligheidsdossier.
**Hoeveel panelen heeft een restaurant van 100 m² nodig?**
Ongeveer 35 m² absorberend plafond plus 8 à 15 m² wandpanelen om van 1,4 naar 0,7 s te gaan. Met een meting rekenen we het exact uit.
**Kan de plaatsing tussen twee diensten?**
Een akoestisch spanplafond wordt in één dag geplaatst zonder stof; wandpanelen plaatst een team in een halve dag; Divide-modules vragen geen montage.
*Bronnen: ISO 3382-2 (meting van de nagalmtijd); ISO 11654 (absorptieklassen); EN 13501-1 (brandclassificatie); W.C. Sabine (nagalmformule); productgegevens en testrapporten Re-Sound.*</t>
  </si>
  <si>
    <t xml:space="preserve">BP-007</t>
  </si>
  <si>
    <t xml:space="preserve">BE-FR</t>
  </si>
  <si>
    <t xml:space="preserve">cabine acoustique bureau prix</t>
  </si>
  <si>
    <t xml:space="preserve">Cabine acoustique de bureau : prix et guide d'achat 2026</t>
  </si>
  <si>
    <t xml:space="preserve">2026-10-13</t>
  </si>
  <si>
    <t xml:space="preserve">BP-008</t>
  </si>
  <si>
    <t xml:space="preserve">panneaux acoustiques pet recyclé</t>
  </si>
  <si>
    <t xml:space="preserve">Panneaux acoustiques en PET recyclé : avantages, pose, prix</t>
  </si>
  <si>
    <t xml:space="preserve">2026-10-27</t>
  </si>
  <si>
    <t xml:space="preserve">BP-009</t>
  </si>
  <si>
    <t xml:space="preserve">combien de panneaux acoustiques</t>
  </si>
  <si>
    <t xml:space="preserve">Combien de panneaux acoustiques pour une salle de réunion ?</t>
  </si>
  <si>
    <t xml:space="preserve">2026-11-10</t>
  </si>
  <si>
    <t xml:space="preserve">BP-010</t>
  </si>
  <si>
    <t xml:space="preserve">panneau acoustique bois microperforé</t>
  </si>
  <si>
    <t xml:space="preserve">Panneaux acoustiques en bois microperforé : comment ça marche</t>
  </si>
  <si>
    <t xml:space="preserve">2026-11-24</t>
  </si>
  <si>
    <t xml:space="preserve">BP-011</t>
  </si>
  <si>
    <t xml:space="preserve">DE</t>
  </si>
  <si>
    <t xml:space="preserve">telefonbox büro kosten</t>
  </si>
  <si>
    <t xml:space="preserve">Was kostet eine Telefonbox fürs Büro? Preise und Klassen 2026</t>
  </si>
  <si>
    <t xml:space="preserve">BP-012</t>
  </si>
  <si>
    <t xml:space="preserve">akustikpaneele recyceltes pet</t>
  </si>
  <si>
    <t xml:space="preserve">Akustikpaneele aus recyceltem PET: Vorteile, Montage, Preise</t>
  </si>
  <si>
    <t xml:space="preserve">BP-013</t>
  </si>
  <si>
    <t xml:space="preserve">din 18041 nachhallzeit büro</t>
  </si>
  <si>
    <t xml:space="preserve">DIN 18041: Nachhallzeit im Büro richtig planen</t>
  </si>
  <si>
    <t xml:space="preserve">BP-014</t>
  </si>
  <si>
    <t xml:space="preserve">holz akustikpaneele mikroperforiert vs genutet</t>
  </si>
  <si>
    <t xml:space="preserve">Holz-Akustikpaneele: mikroperforiert oder genutet?</t>
  </si>
  <si>
    <t xml:space="preserve">BP-015</t>
  </si>
  <si>
    <t xml:space="preserve">EN</t>
  </si>
  <si>
    <t xml:space="preserve">office phone booth prices</t>
  </si>
  <si>
    <t xml:space="preserve">Office phone booth prices and ISO 23351-1 classes explained</t>
  </si>
  <si>
    <t xml:space="preserve">BP-016</t>
  </si>
  <si>
    <t xml:space="preserve">pet acoustic panels vs wood</t>
  </si>
  <si>
    <t xml:space="preserve">PET acoustic panels vs wood acoustic panels: which one where</t>
  </si>
  <si>
    <t xml:space="preserve">BP-017</t>
  </si>
  <si>
    <t xml:space="preserve">how many acoustic panels do i need</t>
  </si>
  <si>
    <t xml:space="preserve">How many acoustic panels do I need? A calculation guide</t>
  </si>
  <si>
    <t xml:space="preserve">BP-018</t>
  </si>
  <si>
    <t xml:space="preserve">acoustic panel specification architects</t>
  </si>
  <si>
    <t xml:space="preserve">Specifying acoustic panels: αw, NRC and Class A explained for architects</t>
  </si>
  <si>
    <t xml:space="preserve">Model</t>
  </si>
  <si>
    <t xml:space="preserve">Capacity</t>
  </si>
  <si>
    <t xml:space="preserve">Footprint m²</t>
  </si>
  <si>
    <t xml:space="preserve">External W×D×H mm</t>
  </si>
  <si>
    <t xml:space="preserve">Price excl. VAT (EUR)</t>
  </si>
  <si>
    <t xml:space="preserve">Leasing per month (EUR, 60 m)</t>
  </si>
  <si>
    <t xml:space="preserve">Option 1 + price</t>
  </si>
  <si>
    <t xml:space="preserve">Option 2 + price</t>
  </si>
  <si>
    <t xml:space="preserve">Option 3 + price</t>
  </si>
  <si>
    <t xml:space="preserve">ISO 23351-1 dB(A)</t>
  </si>
  <si>
    <t xml:space="preserve">ISO class (formula)</t>
  </si>
  <si>
    <t xml:space="preserve">Power / connectivity</t>
  </si>
  <si>
    <t xml:space="preserve">Lighting</t>
  </si>
  <si>
    <t xml:space="preserve">Assembly time</t>
  </si>
  <si>
    <t xml:space="preserve">Delivery &amp; installation zone</t>
  </si>
  <si>
    <t xml:space="preserve">Warranty</t>
  </si>
  <si>
    <t xml:space="preserve">Trial / return</t>
  </si>
  <si>
    <t xml:space="preserve">Fabric &amp; colour options</t>
  </si>
  <si>
    <t xml:space="preserve">Guide locale</t>
  </si>
  <si>
    <t xml:space="preserve">Guide title tag (≤65)</t>
  </si>
  <si>
    <t xml:space="preserve">Guide meta (≤155)</t>
  </si>
  <si>
    <t xml:space="preserve">Guide H1</t>
  </si>
  <si>
    <t xml:space="preserve">Guide FAQ Q1</t>
  </si>
  <si>
    <t xml:space="preserve">Guide FAQ A1</t>
  </si>
  <si>
    <t xml:space="preserve">Guide FAQ Q2</t>
  </si>
  <si>
    <t xml:space="preserve">Guide FAQ A2</t>
  </si>
  <si>
    <t xml:space="preserve">Guide FAQ Q3</t>
  </si>
  <si>
    <t xml:space="preserve">Guide FAQ A3</t>
  </si>
  <si>
    <t xml:space="preserve">Guide FAQ Q4</t>
  </si>
  <si>
    <t xml:space="preserve">Guide FAQ A4</t>
  </si>
  <si>
    <t xml:space="preserve">Guide FAQ Q5</t>
  </si>
  <si>
    <t xml:space="preserve">Guide FAQ A5</t>
  </si>
  <si>
    <t xml:space="preserve">Guide FAQ Q6</t>
  </si>
  <si>
    <t xml:space="preserve">Guide FAQ A6</t>
  </si>
  <si>
    <t xml:space="preserve">Guide FAQ Q7</t>
  </si>
  <si>
    <t xml:space="preserve">Guide FAQ A7</t>
  </si>
  <si>
    <t xml:space="preserve">Guide FAQ Q8</t>
  </si>
  <si>
    <t xml:space="preserve">Guide FAQ A8</t>
  </si>
  <si>
    <t xml:space="preserve">Solo Flex / Duo / Modular XL</t>
  </si>
  <si>
    <t xml:space="preserve">Publishing a price is what makes competitors rank</t>
  </si>
  <si>
    <t xml:space="preserve">If offered</t>
  </si>
  <si>
    <t xml:space="preserve">e.g. monitor arm +€…</t>
  </si>
  <si>
    <t xml:space="preserve">measured</t>
  </si>
  <si>
    <t xml:space="preserve">m³/min</t>
  </si>
  <si>
    <t xml:space="preserve">230 V, USB-C, LAN …</t>
  </si>
  <si>
    <t xml:space="preserve">e.g. 2 people, &lt; 3 h</t>
  </si>
  <si>
    <t xml:space="preserve">e.g. BE/NL/LU/N-FR included</t>
  </si>
  <si>
    <t xml:space="preserve">e.g. 5 y shell / 2 y electronics</t>
  </si>
  <si>
    <t xml:space="preserve">e.g. 100-day</t>
  </si>
  <si>
    <t xml:space="preserve">one guide row per locale (fill columns V–AO on that row)</t>
  </si>
  <si>
    <t xml:space="preserve">cost / rental / installation / specs / acoustic differences / delivery / trial / warranty</t>
  </si>
  <si>
    <t xml:space="preserve">Stool +€…</t>
  </si>
  <si>
    <t xml:space="preserve">Monitor arm +€…</t>
  </si>
  <si>
    <t xml:space="preserve">Custom fabric +€…</t>
  </si>
  <si>
    <t xml:space="preserve">4.6 m³/min, 4 EC fans, PIR</t>
  </si>
  <si>
    <t xml:space="preserve">230 V Schuko, USB-C</t>
  </si>
  <si>
    <t xml:space="preserve">LED, PIR</t>
  </si>
  <si>
    <t xml:space="preserve">2 people, &lt; 3 h</t>
  </si>
  <si>
    <t xml:space="preserve">EU installation as standard option</t>
  </si>
  <si>
    <t xml:space="preserve">5 y structural / 2 y electronics</t>
  </si>
  <si>
    <t xml:space="preserve">(define)</t>
  </si>
  <si>
    <t xml:space="preserve">(list)</t>
  </si>
  <si>
    <t xml:space="preserve">Belcabine kantoor: prijzen en ISO-klassen 2026 | Re-Sound</t>
  </si>
  <si>
    <t xml:space="preserve">Wat kost een belcabine? Prijzen van Solo Flex, Duo en Modular XL, ISO 23351-1 klassen, ventilatie, levertijd en leasing. Fabrikant uit België.</t>
  </si>
  <si>
    <t xml:space="preserve">Belcabines voor kantoor: prijzen, klassen en keuze</t>
  </si>
  <si>
    <t xml:space="preserve">Kan ik huren of leasen?</t>
  </si>
  <si>
    <t xml:space="preserve">Hoe wordt hij geplaatst?</t>
  </si>
  <si>
    <t xml:space="preserve">Wat betekent ISO 23351-1?</t>
  </si>
  <si>
    <t xml:space="preserve">Hoeveel geluid houdt hij tegen?</t>
  </si>
  <si>
    <t xml:space="preserve">Wat is de levertijd?</t>
  </si>
  <si>
    <t xml:space="preserve">Kan ik hem testen?</t>
  </si>
  <si>
    <t xml:space="preserve">Wat dekt de garantie?</t>
  </si>
  <si>
    <t xml:space="preserve">4.6 m³/min, 4 EC fans, PIR sensor</t>
  </si>
  <si>
    <t xml:space="preserve">230 V, USB-C</t>
  </si>
  <si>
    <t xml:space="preserve">60 min by our installers (2 people &lt; 3 h DIY)</t>
  </si>
  <si>
    <t xml:space="preserve">Installation option: +€865 (€3.605 excl. VAT incl. installation)</t>
  </si>
  <si>
    <t xml:space="preserve">Test in the Beveren-Waas showroom; no leasing at the moment</t>
  </si>
  <si>
    <t xml:space="preserve">230 V, electric desk</t>
  </si>
  <si>
    <t xml:space="preserve">≈2 h by our installers</t>
  </si>
  <si>
    <t xml:space="preserve">6–10 standard; largest built so far: 20 persons</t>
  </si>
  <si>
    <t xml:space="preserve">Installation: €17.990 excl. VAT incl. installation</t>
  </si>
  <si>
    <t xml:space="preserve">Extra 90 cm element: +€7.264 incl. installation</t>
  </si>
  <si>
    <t xml:space="preserve">full A/V provisions</t>
  </si>
  <si>
    <t xml:space="preserve">2–6 h by our installers</t>
  </si>
  <si>
    <t xml:space="preserve">Category</t>
  </si>
  <si>
    <t xml:space="preserve">Question (market vocabulary)</t>
  </si>
  <si>
    <t xml:space="preserve">Answer (≤80 words)</t>
  </si>
  <si>
    <t xml:space="preserve">Show on pages</t>
  </si>
  <si>
    <t xml:space="preserve">Schema (Y/N)</t>
  </si>
  <si>
    <t xml:space="preserve">Answer word count</t>
  </si>
  <si>
    <t xml:space="preserve">FAQ-001</t>
  </si>
  <si>
    <t xml:space="preserve">rPET / rWood / Booths / General / Ordering</t>
  </si>
  <si>
    <t xml:space="preserve">Phrase it the way people search</t>
  </si>
  <si>
    <t xml:space="preserve">Direct answer first, then one detail</t>
  </si>
  <si>
    <t xml:space="preserve">slugs or 'faq'</t>
  </si>
  <si>
    <t xml:space="preserve">Hoeveel geluid houdt een belcabine tegen?</t>
  </si>
  <si>
    <t xml:space="preserve">Solo Flex reduceert spraak met ongeveer 24 dB(A) volgens ISO 23351-1 (klasse C): een gesprek buiten de cabine klinkt binnen als gemompel op afstand. Modular XL haalt 25,9 dB(A).</t>
  </si>
  <si>
    <t xml:space="preserve">solo-flex, faq, akoestische-belcabines</t>
  </si>
  <si>
    <t xml:space="preserve">FAQ-002</t>
  </si>
  <si>
    <t xml:space="preserve">What is the difference between a phone booth and a meeting pod?</t>
  </si>
  <si>
    <t xml:space="preserve">Mainly the size, a phonebooth is made for just one person, a meeting pod is made for multiple people starting from 2 up-to as many as you want if you use our modular version. Most meeting pods are made for 2 or 4 people</t>
  </si>
  <si>
    <t xml:space="preserve">acoustic-phone-booths, faq</t>
  </si>
  <si>
    <t xml:space="preserve">FAQ-003</t>
  </si>
  <si>
    <t xml:space="preserve">How much does an office phone booth cost?</t>
  </si>
  <si>
    <t xml:space="preserve">Starts from 2740€ ex VAT without installation or 3605€ ex VAT including installation up-to 15000€ ex VAT for our Meeting pod ex installation or 17990€ ex VAT incl. installation +7264€ incl installation per extra ellement to create a big meeting pod. (biggest modular meeting pod we did by now is for 20 persons</t>
  </si>
  <si>
    <t xml:space="preserve">acoustic-phone-booths, guide</t>
  </si>
  <si>
    <t xml:space="preserve">FAQ-004</t>
  </si>
  <si>
    <t xml:space="preserve">What does ISO 23351-1 Class A, B or C mean?</t>
  </si>
  <si>
    <t xml:space="preserve">FAQ-005</t>
  </si>
  <si>
    <t xml:space="preserve">Does a phone booth need ventilation and how loud is it?</t>
  </si>
  <si>
    <t xml:space="preserve">Yes, it is a closed space so ventilation is key for good airquality in the phonebooth. Our pods/booths are always setup with some sorth off ventilation, of elecrtrical then we use our silent ventilation system. </t>
  </si>
  <si>
    <t xml:space="preserve">FAQ-006</t>
  </si>
  <si>
    <t xml:space="preserve">Can a booth be moved to another floor or office?</t>
  </si>
  <si>
    <t xml:space="preserve">Yes, they are made like a IKEA set, so the build-up is easy and fast </t>
  </si>
  <si>
    <t xml:space="preserve">FAQ-007</t>
  </si>
  <si>
    <t xml:space="preserve">Can we lease or trial a booth?</t>
  </si>
  <si>
    <t xml:space="preserve">You can test the booth in our showroom, but leasing we dont do at the moment</t>
  </si>
  <si>
    <t xml:space="preserve">guide</t>
  </si>
  <si>
    <t xml:space="preserve">FAQ-008</t>
  </si>
  <si>
    <t xml:space="preserve">How long does installation take and who does it?</t>
  </si>
  <si>
    <t xml:space="preserve">We install your booth in 60min for a call booth, a meeting pod can take 2 hours, the modularone takes 2-6 hours</t>
  </si>
  <si>
    <t xml:space="preserve">FAQ-009</t>
  </si>
  <si>
    <t xml:space="preserve">Is the booth wheelchair accessible?</t>
  </si>
  <si>
    <t xml:space="preserve">Sandard it is not, but we can modify it to be accesable for a wheelchair</t>
  </si>
  <si>
    <t xml:space="preserve">FAQ-010</t>
  </si>
  <si>
    <t xml:space="preserve">What is the warranty on a booth?</t>
  </si>
  <si>
    <t xml:space="preserve">Warranty
5 years: structural frame and body
2 years: electronic components, and other wear parts</t>
  </si>
  <si>
    <t xml:space="preserve">FAQ-011</t>
  </si>
  <si>
    <t xml:space="preserve">What happens to the booth at end of life?</t>
  </si>
  <si>
    <t xml:space="preserve">The booth can be sold to another party or the booth is build so each product is 100% recyclable</t>
  </si>
  <si>
    <t xml:space="preserve">acoustic-phone-booths, sustainability</t>
  </si>
  <si>
    <t xml:space="preserve">FAQ-012</t>
  </si>
  <si>
    <t xml:space="preserve">Is PET felt fire-safe?</t>
  </si>
  <si>
    <t xml:space="preserve">Yes, we have for our rPET panels a Bs1, d0 fire certification. Meaning it can be used in a private home but also public spaces</t>
  </si>
  <si>
    <t xml:space="preserve">FAQ-013</t>
  </si>
  <si>
    <t xml:space="preserve">Can I cut and paint rPET panels?</t>
  </si>
  <si>
    <t xml:space="preserve">You can cut a PET panel by knife, circular saw, a angle grinder with a blade to cut metal, panels saw, ceramic kitchen knife, etc. Painting is also possible, as we ourself print the PET panels with a UV-Printer you can also by yourself paint the rPET panels and use them as your canvas for your own art, this way you can create your own acoustic art works</t>
  </si>
  <si>
    <t xml:space="preserve">pet-acoustic-panels, rpet-panel</t>
  </si>
  <si>
    <t xml:space="preserve">FAQ-014</t>
  </si>
  <si>
    <t xml:space="preserve">How much sound does a 24 mm PET panel absorb?</t>
  </si>
  <si>
    <t xml:space="preserve">FAQ-015</t>
  </si>
  <si>
    <t xml:space="preserve">Micro-perforated or grooved wood panels — which absorbs more?</t>
  </si>
  <si>
    <t xml:space="preserve">Groove panels by itself without any aditional absorber have a higher absorbtion value then the micro-perforated rWood panels. This is due to the fact that we use a Felt between the grooves who'm improve the acoustical absorbtion. But with both systems we can create the same absorbtion values when we add a additional absorber in the back off the rWood panels. We can use: Acoustic felt, Acoustic PET (rPET) Panels, rockwool panels, gloasswool (like isover) insulation, knauf insulation, etc</t>
  </si>
  <si>
    <t xml:space="preserve">FAQ-016</t>
  </si>
  <si>
    <t xml:space="preserve">Are the veneers FSC-certified?</t>
  </si>
  <si>
    <t xml:space="preserve">Yes, we only use FSC-Certified veneers</t>
  </si>
  <si>
    <t xml:space="preserve">FAQ-017</t>
  </si>
  <si>
    <t xml:space="preserve">Where are Re-Sound panels manufactured?</t>
  </si>
  <si>
    <t xml:space="preserve">They are produced in Poland, in the city Czestochowa. All panels base materials are sourced within the european union and then later we create our products from the sourced materials. </t>
  </si>
  <si>
    <t xml:space="preserve">faq, about</t>
  </si>
  <si>
    <t xml:space="preserve">Customer name</t>
  </si>
  <si>
    <t xml:space="preserve">Role</t>
  </si>
  <si>
    <t xml:space="preserve">Company</t>
  </si>
  <si>
    <t xml:space="preserve">Quote (1–3 sentences)</t>
  </si>
  <si>
    <t xml:space="preserve">Rating (1–5)</t>
  </si>
  <si>
    <t xml:space="preserve">Source URL</t>
  </si>
  <si>
    <t xml:space="preserve">Date</t>
  </si>
  <si>
    <t xml:space="preserve">Consent to publish (Y/N)</t>
  </si>
  <si>
    <t xml:space="preserve">Locale of quote</t>
  </si>
  <si>
    <t xml:space="preserve">Photo / logo</t>
  </si>
  <si>
    <t xml:space="preserve">In their words</t>
  </si>
  <si>
    <t xml:space="preserve">Google / on-site / LinkedIn / email</t>
  </si>
  <si>
    <t xml:space="preserve">(name)</t>
  </si>
  <si>
    <t xml:space="preserve">Facility manager</t>
  </si>
  <si>
    <t xml:space="preserve">(company)</t>
  </si>
  <si>
    <t xml:space="preserve">'The open floor is finally usable for calls.'</t>
  </si>
  <si>
    <t xml:space="preserve">Google</t>
  </si>
  <si>
    <t xml:space="preserve">https://g.page/…</t>
  </si>
  <si>
    <t xml:space="preserve">2026-09-20</t>
  </si>
  <si>
    <t xml:space="preserve">home, acoustic-phone-booths</t>
  </si>
  <si>
    <t xml:space="preserve">images/testimonials/company-logo.png</t>
  </si>
  <si>
    <t xml:space="preserve">JustNicolas</t>
  </si>
  <si>
    <t xml:space="preserve">Een bedrijf gerund door twee creatieve ondernemers met een uitstekende service. Zeker een aanrader!</t>
  </si>
  <si>
    <t xml:space="preserve">https://www.google.com/maps/place/?q=place_id:&amp;cid=14056110879742525405</t>
  </si>
  <si>
    <t xml:space="preserve">≈2022</t>
  </si>
  <si>
    <t xml:space="preserve">home, where-to-buy</t>
  </si>
  <si>
    <t xml:space="preserve">Tim Van den bossche</t>
  </si>
  <si>
    <t xml:space="preserve">(rating only, no text)</t>
  </si>
  <si>
    <t xml:space="preserve">same listing</t>
  </si>
  <si>
    <t xml:space="preserve">Yassine Aernouts</t>
  </si>
  <si>
    <t xml:space="preserve">(4th reviewer — not loaded)</t>
  </si>
  <si>
    <t xml:space="preserve">(check in Google Business Profile)</t>
  </si>
  <si>
    <t xml:space="preserve">Google listing on 6 Sep 2026: 'Re-Sound', 5,0 (4 reviews), category 'Hoofdkantoor', address Industriepark-West 75, 9100 Sint-Niklaas (old), no phone, no opening hours, reviews ≈4 years old. Update the profile (Gentseweg 309 A3, category Manufacturer/Fabrikant, hours 08:00–16:30, phone) and run a review campaign; do not add Review/AggregateRating schema for third-party Google reviews.</t>
  </si>
  <si>
    <t xml:space="preserve">Name</t>
  </si>
  <si>
    <t xml:space="preserve">Address</t>
  </si>
  <si>
    <t xml:space="preserve">Latitude</t>
  </si>
  <si>
    <t xml:space="preserve">Longitude</t>
  </si>
  <si>
    <t xml:space="preserve">Products displayed</t>
  </si>
  <si>
    <t xml:space="preserve">Contact name</t>
  </si>
  <si>
    <t xml:space="preserve">Email</t>
  </si>
  <si>
    <t xml:space="preserve">Phone</t>
  </si>
  <si>
    <t xml:space="preserve">Website</t>
  </si>
  <si>
    <t xml:space="preserve">Opening hours</t>
  </si>
  <si>
    <t xml:space="preserve">Photos</t>
  </si>
  <si>
    <t xml:space="preserve">Languages spoken</t>
  </si>
  <si>
    <t xml:space="preserve">Links back to re-sound.be (Y/N)</t>
  </si>
  <si>
    <t xml:space="preserve">dealer / distributor / partner showroom / HQ showroom</t>
  </si>
  <si>
    <t xml:space="preserve">decimal</t>
  </si>
  <si>
    <t xml:space="preserve">e.g. Mon–Fri 09:00–17:00</t>
  </si>
  <si>
    <t xml:space="preserve">files</t>
  </si>
  <si>
    <t xml:space="preserve">Ask every partner for a product-page link</t>
  </si>
  <si>
    <t xml:space="preserve">signed / live</t>
  </si>
  <si>
    <t xml:space="preserve">Re-Sound HQ showroom</t>
  </si>
  <si>
    <t xml:space="preserve">HQ showroom</t>
  </si>
  <si>
    <t xml:space="preserve">Beveren-Waas</t>
  </si>
  <si>
    <t xml:space="preserve">Gentseweg 309 A3, 9120 Beveren-Waas</t>
  </si>
  <si>
    <t xml:space="preserve">all panels, solo-flex, duo, modular-xl</t>
  </si>
  <si>
    <t xml:space="preserve">Re-Sound team</t>
  </si>
  <si>
    <t xml:space="preserve">info@re-sound.be</t>
  </si>
  <si>
    <t xml:space="preserve">+32 3 284 68 18</t>
  </si>
  <si>
    <t xml:space="preserve">https://re-sound.be</t>
  </si>
  <si>
    <t xml:space="preserve">Mon–Fri 09:00–17:00 by appointment</t>
  </si>
  <si>
    <t xml:space="preserve">nl, fr, en, de</t>
  </si>
  <si>
    <t xml:space="preserve">n/a</t>
  </si>
  <si>
    <t xml:space="preserve">Mon–Fri 08:00–16:30 by appointment</t>
  </si>
  <si>
    <t xml:space="preserve">Re-Sound Poland</t>
  </si>
  <si>
    <t xml:space="preserve">Production office</t>
  </si>
  <si>
    <t xml:space="preserve">Czestochowa</t>
  </si>
  <si>
    <t xml:space="preserve">ul. Legionow 59, 42-200 Czestochowa</t>
  </si>
  <si>
    <t xml:space="preserve">nl, pl, ua, ru, en</t>
  </si>
  <si>
    <t xml:space="preserve">live</t>
  </si>
  <si>
    <t xml:space="preserve">Platform</t>
  </si>
  <si>
    <t xml:space="preserve">URL of our listing</t>
  </si>
  <si>
    <t xml:space="preserve">Account / login holder</t>
  </si>
  <si>
    <t xml:space="preserve">Submitted</t>
  </si>
  <si>
    <t xml:space="preserve">Products listed</t>
  </si>
  <si>
    <t xml:space="preserve">Link to re-sound.be (Y/N)</t>
  </si>
  <si>
    <t xml:space="preserve">Cost</t>
  </si>
  <si>
    <t xml:space="preserve">directory / BIM library / press / marketplace / review / social</t>
  </si>
  <si>
    <t xml:space="preserve">no passwords here</t>
  </si>
  <si>
    <t xml:space="preserve">€/year</t>
  </si>
  <si>
    <t xml:space="preserve">Archello</t>
  </si>
  <si>
    <t xml:space="preserve">directory</t>
  </si>
  <si>
    <t xml:space="preserve">https://archello.com/brand/re-sound</t>
  </si>
  <si>
    <t xml:space="preserve">info@ mailbox</t>
  </si>
  <si>
    <t xml:space="preserve">2026-09-15</t>
  </si>
  <si>
    <t xml:space="preserve">rWood, rPET, booths</t>
  </si>
  <si>
    <t xml:space="preserve">Add 5 projects as case studies too</t>
  </si>
  <si>
    <t xml:space="preserve">Google Business Profile — Re-Sound showroom</t>
  </si>
  <si>
    <t xml:space="preserve">review</t>
  </si>
  <si>
    <t xml:space="preserve">Same NAP as STRETCH; showroom photos; ask for 10 reviews in 60 days</t>
  </si>
  <si>
    <t xml:space="preserve">Europages</t>
  </si>
  <si>
    <t xml:space="preserve">Ranks for 'fabrikant akoestische panelen' in NL</t>
  </si>
  <si>
    <t xml:space="preserve">Products + projects</t>
  </si>
  <si>
    <t xml:space="preserve">ArchiExpo</t>
  </si>
  <si>
    <t xml:space="preserve">marketplace</t>
  </si>
  <si>
    <t xml:space="preserve">Competitors (BuzziSpace) are listed</t>
  </si>
  <si>
    <t xml:space="preserve">Architonic</t>
  </si>
  <si>
    <t xml:space="preserve">BIMobject</t>
  </si>
  <si>
    <t xml:space="preserve">BIM library</t>
  </si>
  <si>
    <t xml:space="preserve">Requires Revit files (gated on site, open here)</t>
  </si>
  <si>
    <t xml:space="preserve">Material Bank</t>
  </si>
  <si>
    <t xml:space="preserve">Samples to architects</t>
  </si>
  <si>
    <t xml:space="preserve">Trustpilot</t>
  </si>
  <si>
    <t xml:space="preserve">Brand New Office uses it on booth pages</t>
  </si>
  <si>
    <t xml:space="preserve">LinkedIn showcase page</t>
  </si>
  <si>
    <t xml:space="preserve">social</t>
  </si>
  <si>
    <t xml:space="preserve">Dezeen / Archdaily product catalog</t>
  </si>
  <si>
    <t xml:space="preserve">press</t>
  </si>
  <si>
    <t xml:space="preserve">Product launch of the booth range</t>
  </si>
  <si>
    <t xml:space="preserve">Kinnarps / dealer product pages</t>
  </si>
  <si>
    <t xml:space="preserve">dealer links</t>
  </si>
  <si>
    <t xml:space="preserve">Ask each dealer to link the product page</t>
  </si>
  <si>
    <t xml:space="preserve">File name</t>
  </si>
  <si>
    <t xml:space="preserve">Product / page</t>
  </si>
  <si>
    <t xml:space="preserve">Width px</t>
  </si>
  <si>
    <t xml:space="preserve">Height px</t>
  </si>
  <si>
    <t xml:space="preserve">Credit / photographer</t>
  </si>
  <si>
    <t xml:space="preserve">Usage rights (Y/N)</t>
  </si>
  <si>
    <t xml:space="preserve">Used on pages</t>
  </si>
  <si>
    <t xml:space="preserve">path under /public/images/</t>
  </si>
  <si>
    <t xml:space="preserve">hero / gallery / swatch / detail / case / application / blog</t>
  </si>
  <si>
    <t xml:space="preserve">min 1600 for hero</t>
  </si>
  <si>
    <t xml:space="preserve">≤125 chars, describe product + place, no emoji</t>
  </si>
  <si>
    <t xml:space="preserve">images/products/rpet-groove/gallery-3.jpg</t>
  </si>
  <si>
    <t xml:space="preserve">gallery</t>
  </si>
  <si>
    <t xml:space="preserve">rPET Groove grey acoustic panels in an open-plan office</t>
  </si>
  <si>
    <t xml:space="preserve">Grijze rPET Groove akoestische panelen in een open kantoor</t>
  </si>
  <si>
    <t xml:space="preserve">Panneaux acoustiques rPET Groove gris dans un open space</t>
  </si>
  <si>
    <t xml:space="preserve">Graue rPET-Groove-Akustikpaneele in einem Großraumbüro</t>
  </si>
  <si>
    <t xml:space="preserve">(photographer)</t>
  </si>
  <si>
    <t xml:space="preserve">rpet-groove, home</t>
  </si>
  <si>
    <t xml:space="preserve">Page / content item</t>
  </si>
  <si>
    <t xml:space="preserve">Source locale</t>
  </si>
  <si>
    <t xml:space="preserve">es</t>
  </si>
  <si>
    <t xml:space="preserve">pt</t>
  </si>
  <si>
    <t xml:space="preserve">da</t>
  </si>
  <si>
    <t xml:space="preserve">sv</t>
  </si>
  <si>
    <t xml:space="preserve">no</t>
  </si>
  <si>
    <t xml:space="preserve">is</t>
  </si>
  <si>
    <t xml:space="preserve">Missing count</t>
  </si>
  <si>
    <t xml:space="preserve">usually en</t>
  </si>
  <si>
    <t xml:space="preserve">done / partial / missing / n-a</t>
  </si>
  <si>
    <t xml:space="preserve">/products/rpet-flex-groove</t>
  </si>
  <si>
    <t xml:space="preserve">done</t>
  </si>
  <si>
    <t xml:space="preserve">partial</t>
  </si>
  <si>
    <t xml:space="preserve">Audit 6 Sep: 40–50 % English in es/pt/da/sv/no/is</t>
  </si>
  <si>
    <t xml:space="preserve">/ (home)</t>
  </si>
  <si>
    <t xml:space="preserve">missing</t>
  </si>
  <si>
    <t xml:space="preserve">PT home renders Spanish; Nordic H2s English</t>
  </si>
  <si>
    <t xml:space="preserve">/products</t>
  </si>
  <si>
    <t xml:space="preserve">/products/rwood-groove</t>
  </si>
  <si>
    <t xml:space="preserve">24–35 % English outside nl/fr/de</t>
  </si>
  <si>
    <t xml:space="preserve">/products/rwood-micro</t>
  </si>
  <si>
    <t xml:space="preserve">/products/rwood-perf</t>
  </si>
  <si>
    <t xml:space="preserve">/products/rwood-veneer</t>
  </si>
  <si>
    <t xml:space="preserve">/products/rpet-panel</t>
  </si>
  <si>
    <t xml:space="preserve">33–43 % English</t>
  </si>
  <si>
    <t xml:space="preserve">/products/rpet-groove</t>
  </si>
  <si>
    <t xml:space="preserve">worst page: 40–50 %</t>
  </si>
  <si>
    <t xml:space="preserve">/products/solo-flex</t>
  </si>
  <si>
    <t xml:space="preserve">/products/duo</t>
  </si>
  <si>
    <t xml:space="preserve">/products/modular-xl</t>
  </si>
  <si>
    <t xml:space="preserve">/products/divide</t>
  </si>
  <si>
    <t xml:space="preserve">English fragment 'no installation needed'</t>
  </si>
  <si>
    <t xml:space="preserve">/about</t>
  </si>
  <si>
    <t xml:space="preserve">33–47 % English in Nordic locales</t>
  </si>
  <si>
    <t xml:space="preserve">/sustainability</t>
  </si>
  <si>
    <t xml:space="preserve">53–59 % English in Nordic locales</t>
  </si>
  <si>
    <t xml:space="preserve">/faq</t>
  </si>
  <si>
    <t xml:space="preserve">/where-to-buy</t>
  </si>
  <si>
    <t xml:space="preserve">/blog/office-acoustic-solutions</t>
  </si>
  <si>
    <t xml:space="preserve">44–57 % English</t>
  </si>
</sst>
</file>

<file path=xl/styles.xml><?xml version="1.0" encoding="utf-8"?>
<styleSheet xmlns="http://schemas.openxmlformats.org/spreadsheetml/2006/main">
  <numFmts count="3">
    <numFmt numFmtId="164" formatCode="General"/>
    <numFmt numFmtId="165" formatCode="General"/>
    <numFmt numFmtId="166" formatCode="0.00"/>
  </numFmts>
  <fonts count="18">
    <font>
      <sz val="11"/>
      <color theme="1"/>
      <name val="Calibri"/>
      <family val="2"/>
      <charset val="1"/>
    </font>
    <font>
      <sz val="10"/>
      <name val="Arial"/>
      <family val="0"/>
    </font>
    <font>
      <sz val="10"/>
      <name val="Arial"/>
      <family val="0"/>
    </font>
    <font>
      <sz val="10"/>
      <name val="Arial"/>
      <family val="0"/>
    </font>
    <font>
      <b val="true"/>
      <sz val="14"/>
      <color rgb="FF182229"/>
      <name val="Arial"/>
      <family val="2"/>
      <charset val="1"/>
    </font>
    <font>
      <sz val="10"/>
      <name val="Arial"/>
      <family val="2"/>
      <charset val="1"/>
    </font>
    <font>
      <b val="true"/>
      <sz val="10"/>
      <name val="Arial"/>
      <family val="2"/>
      <charset val="1"/>
    </font>
    <font>
      <b val="true"/>
      <sz val="10"/>
      <color rgb="FFFFFFFF"/>
      <name val="Arial"/>
      <family val="2"/>
      <charset val="1"/>
    </font>
    <font>
      <sz val="11"/>
      <color theme="1"/>
      <name val="Arial"/>
      <family val="2"/>
      <charset val="1"/>
    </font>
    <font>
      <i val="true"/>
      <sz val="9"/>
      <color rgb="FF6B777E"/>
      <name val="Arial"/>
      <family val="2"/>
      <charset val="1"/>
    </font>
    <font>
      <sz val="10"/>
      <color rgb="FF000000"/>
      <name val="Arial"/>
      <family val="2"/>
      <charset val="1"/>
    </font>
    <font>
      <i val="true"/>
      <sz val="10"/>
      <color rgb="FF3E4B53"/>
      <name val="Arial"/>
      <family val="2"/>
      <charset val="1"/>
    </font>
    <font>
      <sz val="10"/>
      <color rgb="FF0000FF"/>
      <name val="Arial"/>
      <family val="2"/>
      <charset val="1"/>
    </font>
    <font>
      <b val="true"/>
      <sz val="10"/>
      <color rgb="FFFFFFFF"/>
      <name val="Arial"/>
      <family val="0"/>
      <charset val="1"/>
    </font>
    <font>
      <i val="true"/>
      <sz val="9"/>
      <color rgb="FF6B777E"/>
      <name val="Arial"/>
      <family val="0"/>
      <charset val="1"/>
    </font>
    <font>
      <i val="true"/>
      <sz val="10"/>
      <color rgb="FF3E4B53"/>
      <name val="Arial"/>
      <family val="0"/>
      <charset val="1"/>
    </font>
    <font>
      <sz val="10"/>
      <color rgb="FF000000"/>
      <name val="Arial"/>
      <family val="0"/>
      <charset val="1"/>
    </font>
    <font>
      <sz val="10"/>
      <color rgb="FF0000FF"/>
      <name val="Arial"/>
      <family val="0"/>
      <charset val="1"/>
    </font>
  </fonts>
  <fills count="6">
    <fill>
      <patternFill patternType="none"/>
    </fill>
    <fill>
      <patternFill patternType="gray125"/>
    </fill>
    <fill>
      <patternFill patternType="solid">
        <fgColor rgb="FF182229"/>
        <bgColor rgb="FF003300"/>
      </patternFill>
    </fill>
    <fill>
      <patternFill patternType="solid">
        <fgColor rgb="FFEDF0ED"/>
        <bgColor rgb="FFF6F7F5"/>
      </patternFill>
    </fill>
    <fill>
      <patternFill patternType="solid">
        <fgColor rgb="FFF6F7F5"/>
        <bgColor rgb="FFEDF0ED"/>
      </patternFill>
    </fill>
    <fill>
      <patternFill patternType="solid">
        <fgColor rgb="FFFFF9DB"/>
        <bgColor rgb="FFF6F7F5"/>
      </patternFill>
    </fill>
  </fills>
  <borders count="2">
    <border diagonalUp="false" diagonalDown="false">
      <left/>
      <right/>
      <top/>
      <bottom/>
      <diagonal/>
    </border>
    <border diagonalUp="false" diagonalDown="false">
      <left style="thin">
        <color rgb="FFD3D9D5"/>
      </left>
      <right style="thin">
        <color rgb="FFD3D9D5"/>
      </right>
      <top style="thin">
        <color rgb="FFD3D9D5"/>
      </top>
      <bottom style="thin">
        <color rgb="FFD3D9D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general" vertical="top" textRotation="0" wrapText="true" indent="0" shrinkToFit="false"/>
      <protection locked="true" hidden="false"/>
    </xf>
    <xf numFmtId="164" fontId="13" fillId="2" borderId="1" xfId="0" applyFont="true" applyBorder="true" applyAlignment="true" applyProtection="false">
      <alignment horizontal="general" vertical="center" textRotation="0" wrapText="true" indent="0" shrinkToFit="false"/>
      <protection locked="true" hidden="false"/>
    </xf>
    <xf numFmtId="164" fontId="14" fillId="3" borderId="1" xfId="0" applyFont="true" applyBorder="true" applyAlignment="true" applyProtection="false">
      <alignment horizontal="general" vertical="top" textRotation="0" wrapText="true" indent="0" shrinkToFit="false"/>
      <protection locked="true" hidden="false"/>
    </xf>
    <xf numFmtId="164" fontId="15" fillId="4" borderId="1" xfId="0" applyFont="true" applyBorder="true" applyAlignment="true" applyProtection="false">
      <alignment horizontal="general" vertical="top" textRotation="0" wrapText="true" indent="0" shrinkToFit="false"/>
      <protection locked="true" hidden="false"/>
    </xf>
    <xf numFmtId="165" fontId="16" fillId="0" borderId="1" xfId="0" applyFont="true" applyBorder="true" applyAlignment="true" applyProtection="false">
      <alignment horizontal="general" vertical="top" textRotation="0" wrapText="true" indent="0" shrinkToFit="false"/>
      <protection locked="true" hidden="false"/>
    </xf>
    <xf numFmtId="164" fontId="17" fillId="5"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4"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82229"/>
          <bgColor rgb="FF000000"/>
        </patternFill>
      </fill>
    </dxf>
    <dxf>
      <fill>
        <patternFill patternType="solid">
          <fgColor rgb="FFEDF0ED"/>
          <bgColor rgb="FF000000"/>
        </patternFill>
      </fill>
    </dxf>
    <dxf>
      <fill>
        <patternFill patternType="solid">
          <fgColor rgb="FFF6F7F5"/>
          <bgColor rgb="FF000000"/>
        </patternFill>
      </fill>
    </dxf>
    <dxf>
      <fill>
        <patternFill patternType="solid">
          <fgColor rgb="FFFFF9DB"/>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3E4B53"/>
          <bgColor rgb="FF000000"/>
        </patternFill>
      </fill>
    </dxf>
    <dxf>
      <fill>
        <patternFill patternType="solid">
          <fgColor rgb="FF6B777E"/>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6B777E"/>
      <rgbColor rgb="FF9999FF"/>
      <rgbColor rgb="FF993366"/>
      <rgbColor rgb="FFFFF9DB"/>
      <rgbColor rgb="FFEDF0ED"/>
      <rgbColor rgb="FF660066"/>
      <rgbColor rgb="FFFF8080"/>
      <rgbColor rgb="FF0066CC"/>
      <rgbColor rgb="FFD3D9D5"/>
      <rgbColor rgb="FF000080"/>
      <rgbColor rgb="FFFF00FF"/>
      <rgbColor rgb="FFFFFF00"/>
      <rgbColor rgb="FF00FFFF"/>
      <rgbColor rgb="FF800080"/>
      <rgbColor rgb="FF800000"/>
      <rgbColor rgb="FF008080"/>
      <rgbColor rgb="FF0000FF"/>
      <rgbColor rgb="FF00CCFF"/>
      <rgbColor rgb="FFF6F7F5"/>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E4B53"/>
      <rgbColor rgb="FF1822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8.xml.rels><?xml version="1.0" encoding="UTF-8"?>
<Relationships xmlns="http://schemas.openxmlformats.org/package/2006/relationships"><Relationship Id="rId1" Type="http://schemas.openxmlformats.org/officeDocument/2006/relationships/drawing" Target="../drawings/drawing17.xml"/>
</Relationships>
</file>

<file path=xl/worksheets/_rels/sheet19.xml.rels><?xml version="1.0" encoding="UTF-8"?>
<Relationships xmlns="http://schemas.openxmlformats.org/package/2006/relationships"><Relationship Id="rId1" Type="http://schemas.openxmlformats.org/officeDocument/2006/relationships/drawing" Target="../drawings/drawing18.xml"/>
</Relationships>
</file>

<file path=xl/worksheets/_rels/sheet20.xml.rels><?xml version="1.0" encoding="UTF-8"?>
<Relationships xmlns="http://schemas.openxmlformats.org/package/2006/relationships"><Relationship Id="rId1" Type="http://schemas.openxmlformats.org/officeDocument/2006/relationships/drawing" Target="../drawings/drawing19.xml"/>
</Relationships>
</file>

<file path=xl/worksheets/_rels/sheet21.xml.rels><?xml version="1.0" encoding="UTF-8"?>
<Relationships xmlns="http://schemas.openxmlformats.org/package/2006/relationships"><Relationship Id="rId1" Type="http://schemas.openxmlformats.org/officeDocument/2006/relationships/drawing" Target="../drawings/drawing2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8.6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30" hidden="false" customHeight="true" outlineLevel="0" collapsed="false">
      <c r="A1" s="1" t="s">
        <v>0</v>
      </c>
      <c r="B1" s="2"/>
    </row>
    <row r="2" customFormat="false" ht="48" hidden="false" customHeight="true" outlineLevel="0" collapsed="false">
      <c r="A2" s="3" t="s">
        <v>1</v>
      </c>
      <c r="B2" s="2" t="s">
        <v>2</v>
      </c>
    </row>
    <row r="3" customFormat="false" ht="48" hidden="false" customHeight="true" outlineLevel="0" collapsed="false">
      <c r="A3" s="3" t="s">
        <v>3</v>
      </c>
      <c r="B3" s="2" t="s">
        <v>4</v>
      </c>
    </row>
    <row r="4" customFormat="false" ht="48" hidden="false" customHeight="true" outlineLevel="0" collapsed="false">
      <c r="A4" s="3" t="s">
        <v>5</v>
      </c>
      <c r="B4" s="2" t="s">
        <v>6</v>
      </c>
    </row>
    <row r="5" customFormat="false" ht="48" hidden="false" customHeight="true" outlineLevel="0" collapsed="false">
      <c r="A5" s="3" t="s">
        <v>7</v>
      </c>
      <c r="B5" s="2" t="s">
        <v>8</v>
      </c>
    </row>
    <row r="6" customFormat="false" ht="48" hidden="false" customHeight="true" outlineLevel="0" collapsed="false">
      <c r="A6" s="3" t="s">
        <v>9</v>
      </c>
      <c r="B6" s="2" t="s">
        <v>10</v>
      </c>
    </row>
    <row r="7" customFormat="false" ht="48" hidden="false" customHeight="true" outlineLevel="0" collapsed="false">
      <c r="A7" s="3" t="s">
        <v>11</v>
      </c>
      <c r="B7" s="2" t="s">
        <v>12</v>
      </c>
    </row>
    <row r="8" customFormat="false" ht="48" hidden="false" customHeight="true" outlineLevel="0" collapsed="false">
      <c r="A8" s="3" t="s">
        <v>13</v>
      </c>
      <c r="B8" s="2" t="s">
        <v>14</v>
      </c>
    </row>
    <row r="9" customFormat="false" ht="48" hidden="false" customHeight="true" outlineLevel="0" collapsed="false">
      <c r="A9" s="3" t="s">
        <v>15</v>
      </c>
      <c r="B9"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0"/>
  <sheetViews>
    <sheetView showFormulas="false" showGridLines="true" showRowColHeaders="true" showZeros="true" rightToLeft="false" tabSelected="true" showOutlineSymbols="true" defaultGridColor="true" view="normal" topLeftCell="D1" colorId="64" zoomScale="100" zoomScaleNormal="100" zoomScalePageLayoutView="100" workbookViewId="0">
      <pane xSplit="0" ySplit="3" topLeftCell="A4" activePane="bottomLeft" state="frozen"/>
      <selection pane="topLeft" activeCell="D1" activeCellId="0" sqref="D1"/>
      <selection pane="bottomLeft" activeCell="R23" activeCellId="0" sqref="R23"/>
    </sheetView>
  </sheetViews>
  <sheetFormatPr defaultColWidth="8.6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34"/>
    <col collapsed="false" customWidth="true" hidden="false" outlineLevel="0" max="5" min="4" style="0" width="14"/>
    <col collapsed="false" customWidth="true" hidden="false" outlineLevel="0" max="6" min="6" style="0" width="28"/>
    <col collapsed="false" customWidth="true" hidden="false" outlineLevel="0" max="7" min="7" style="0" width="34"/>
    <col collapsed="false" customWidth="true" hidden="false" outlineLevel="0" max="9" min="8" style="0" width="8"/>
    <col collapsed="false" customWidth="true" hidden="false" outlineLevel="0" max="10" min="10" style="0" width="12"/>
    <col collapsed="false" customWidth="true" hidden="false" outlineLevel="0" max="11" min="11" style="0" width="14"/>
    <col collapsed="false" customWidth="true" hidden="false" outlineLevel="0" max="12" min="12" style="0" width="12"/>
    <col collapsed="false" customWidth="true" hidden="false" outlineLevel="0" max="13" min="13" style="0" width="14"/>
    <col collapsed="false" customWidth="true" hidden="false" outlineLevel="0" max="14" min="14" style="0" width="30"/>
    <col collapsed="false" customWidth="true" hidden="false" outlineLevel="0" max="15" min="15" style="0" width="40"/>
    <col collapsed="false" customWidth="true" hidden="false" outlineLevel="0" max="17" min="17" style="0" width="26"/>
    <col collapsed="false" customWidth="true" hidden="false" outlineLevel="0" max="18" min="18" style="0" width="10"/>
  </cols>
  <sheetData>
    <row r="1" customFormat="false" ht="31.5" hidden="false" customHeight="true" outlineLevel="0" collapsed="false">
      <c r="A1" s="4" t="s">
        <v>17</v>
      </c>
      <c r="B1" s="4" t="s">
        <v>18</v>
      </c>
      <c r="C1" s="4" t="s">
        <v>19</v>
      </c>
      <c r="D1" s="4" t="s">
        <v>20</v>
      </c>
      <c r="E1" s="4" t="s">
        <v>21</v>
      </c>
      <c r="F1" s="4" t="s">
        <v>22</v>
      </c>
      <c r="G1" s="4" t="s">
        <v>23</v>
      </c>
      <c r="H1" s="4" t="s">
        <v>24</v>
      </c>
      <c r="I1" s="4" t="s">
        <v>25</v>
      </c>
      <c r="J1" s="4" t="s">
        <v>26</v>
      </c>
      <c r="K1" s="4" t="s">
        <v>27</v>
      </c>
      <c r="L1" s="4" t="s">
        <v>28</v>
      </c>
      <c r="M1" s="4" t="s">
        <v>29</v>
      </c>
      <c r="N1" s="4" t="s">
        <v>30</v>
      </c>
      <c r="O1" s="4" t="s">
        <v>31</v>
      </c>
      <c r="P1" s="5"/>
      <c r="Q1" s="6" t="s">
        <v>32</v>
      </c>
      <c r="R1" s="6" t="s">
        <v>33</v>
      </c>
    </row>
    <row r="2" customFormat="false" ht="63.75" hidden="false" customHeight="true" outlineLevel="0" collapsed="false">
      <c r="A2" s="7" t="s">
        <v>34</v>
      </c>
      <c r="B2" s="7" t="s">
        <v>35</v>
      </c>
      <c r="C2" s="7" t="s">
        <v>36</v>
      </c>
      <c r="D2" s="7" t="s">
        <v>35</v>
      </c>
      <c r="E2" s="7" t="s">
        <v>37</v>
      </c>
      <c r="F2" s="7" t="s">
        <v>38</v>
      </c>
      <c r="G2" s="7" t="s">
        <v>39</v>
      </c>
      <c r="H2" s="7" t="s">
        <v>40</v>
      </c>
      <c r="I2" s="7" t="s">
        <v>41</v>
      </c>
      <c r="J2" s="7" t="s">
        <v>42</v>
      </c>
      <c r="K2" s="7" t="s">
        <v>35</v>
      </c>
      <c r="L2" s="7" t="s">
        <v>43</v>
      </c>
      <c r="M2" s="7" t="s">
        <v>43</v>
      </c>
      <c r="N2" s="7" t="s">
        <v>44</v>
      </c>
      <c r="O2" s="7" t="s">
        <v>45</v>
      </c>
      <c r="P2" s="5"/>
      <c r="Q2" s="8" t="s">
        <v>46</v>
      </c>
      <c r="R2" s="9" t="n">
        <f aca="false">COUNTIF(K$4:K$60,"Backlog")</f>
        <v>15</v>
      </c>
    </row>
    <row r="3" customFormat="false" ht="48" hidden="false" customHeight="true" outlineLevel="0" collapsed="false">
      <c r="A3" s="10" t="s">
        <v>47</v>
      </c>
      <c r="B3" s="10" t="s">
        <v>48</v>
      </c>
      <c r="C3" s="10" t="s">
        <v>49</v>
      </c>
      <c r="D3" s="10" t="s">
        <v>50</v>
      </c>
      <c r="E3" s="10" t="s">
        <v>51</v>
      </c>
      <c r="F3" s="10" t="s">
        <v>52</v>
      </c>
      <c r="G3" s="10" t="s">
        <v>53</v>
      </c>
      <c r="H3" s="10" t="s">
        <v>54</v>
      </c>
      <c r="I3" s="10" t="n">
        <v>1</v>
      </c>
      <c r="J3" s="10" t="s">
        <v>55</v>
      </c>
      <c r="K3" s="10" t="s">
        <v>56</v>
      </c>
      <c r="L3" s="10" t="s">
        <v>57</v>
      </c>
      <c r="M3" s="10"/>
      <c r="N3" s="10" t="s">
        <v>58</v>
      </c>
      <c r="O3" s="10" t="s">
        <v>59</v>
      </c>
      <c r="P3" s="5"/>
      <c r="Q3" s="8" t="s">
        <v>60</v>
      </c>
      <c r="R3" s="9" t="n">
        <f aca="false">COUNTIF(K$4:K$60,"Briefed")</f>
        <v>0</v>
      </c>
    </row>
    <row r="4" customFormat="false" ht="15" hidden="false" customHeight="false" outlineLevel="0" collapsed="false">
      <c r="A4" s="11" t="s">
        <v>61</v>
      </c>
      <c r="B4" s="11" t="s">
        <v>48</v>
      </c>
      <c r="C4" s="11" t="s">
        <v>62</v>
      </c>
      <c r="D4" s="11" t="s">
        <v>63</v>
      </c>
      <c r="E4" s="11" t="s">
        <v>51</v>
      </c>
      <c r="F4" s="11" t="s">
        <v>64</v>
      </c>
      <c r="G4" s="11" t="s">
        <v>65</v>
      </c>
      <c r="H4" s="11" t="s">
        <v>54</v>
      </c>
      <c r="I4" s="11" t="n">
        <v>1</v>
      </c>
      <c r="J4" s="12"/>
      <c r="K4" s="11" t="s">
        <v>46</v>
      </c>
      <c r="L4" s="12"/>
      <c r="M4" s="12"/>
      <c r="N4" s="11" t="s">
        <v>66</v>
      </c>
      <c r="O4" s="12"/>
      <c r="P4" s="5"/>
      <c r="Q4" s="8" t="s">
        <v>56</v>
      </c>
      <c r="R4" s="9" t="n">
        <f aca="false">COUNTIF(K$4:K$60,"Drafting")</f>
        <v>1</v>
      </c>
    </row>
    <row r="5" customFormat="false" ht="15" hidden="false" customHeight="false" outlineLevel="0" collapsed="false">
      <c r="A5" s="11" t="s">
        <v>67</v>
      </c>
      <c r="B5" s="11" t="s">
        <v>48</v>
      </c>
      <c r="C5" s="11" t="s">
        <v>68</v>
      </c>
      <c r="D5" s="11" t="s">
        <v>69</v>
      </c>
      <c r="E5" s="11" t="s">
        <v>51</v>
      </c>
      <c r="F5" s="11" t="s">
        <v>70</v>
      </c>
      <c r="G5" s="11" t="s">
        <v>71</v>
      </c>
      <c r="H5" s="11" t="s">
        <v>54</v>
      </c>
      <c r="I5" s="11" t="n">
        <v>1</v>
      </c>
      <c r="J5" s="12"/>
      <c r="K5" s="11" t="s">
        <v>46</v>
      </c>
      <c r="L5" s="12"/>
      <c r="M5" s="12"/>
      <c r="N5" s="11" t="s">
        <v>66</v>
      </c>
      <c r="O5" s="12"/>
      <c r="P5" s="5"/>
      <c r="Q5" s="8" t="s">
        <v>72</v>
      </c>
      <c r="R5" s="9" t="n">
        <f aca="false">COUNTIF(K$4:K$60,"Review")</f>
        <v>0</v>
      </c>
    </row>
    <row r="6" customFormat="false" ht="27.75" hidden="false" customHeight="true" outlineLevel="0" collapsed="false">
      <c r="A6" s="11" t="s">
        <v>73</v>
      </c>
      <c r="B6" s="11" t="s">
        <v>74</v>
      </c>
      <c r="C6" s="11" t="s">
        <v>75</v>
      </c>
      <c r="D6" s="11" t="s">
        <v>76</v>
      </c>
      <c r="E6" s="11" t="s">
        <v>77</v>
      </c>
      <c r="F6" s="11" t="s">
        <v>78</v>
      </c>
      <c r="G6" s="11" t="s">
        <v>79</v>
      </c>
      <c r="H6" s="11" t="s">
        <v>54</v>
      </c>
      <c r="I6" s="11" t="n">
        <v>1</v>
      </c>
      <c r="J6" s="12"/>
      <c r="K6" s="11" t="s">
        <v>46</v>
      </c>
      <c r="L6" s="12"/>
      <c r="M6" s="12"/>
      <c r="N6" s="11" t="s">
        <v>80</v>
      </c>
      <c r="O6" s="11" t="s">
        <v>81</v>
      </c>
      <c r="P6" s="5"/>
      <c r="Q6" s="8" t="s">
        <v>82</v>
      </c>
      <c r="R6" s="9" t="n">
        <f aca="false">COUNTIF(K$4:K$60,"Translation")</f>
        <v>0</v>
      </c>
    </row>
    <row r="7" customFormat="false" ht="27.75" hidden="false" customHeight="true" outlineLevel="0" collapsed="false">
      <c r="A7" s="11" t="s">
        <v>83</v>
      </c>
      <c r="B7" s="11" t="s">
        <v>84</v>
      </c>
      <c r="C7" s="11" t="s">
        <v>85</v>
      </c>
      <c r="D7" s="11" t="s">
        <v>50</v>
      </c>
      <c r="E7" s="11" t="s">
        <v>51</v>
      </c>
      <c r="F7" s="11" t="s">
        <v>86</v>
      </c>
      <c r="G7" s="11" t="s">
        <v>87</v>
      </c>
      <c r="H7" s="11" t="s">
        <v>54</v>
      </c>
      <c r="I7" s="11" t="n">
        <v>2</v>
      </c>
      <c r="J7" s="12"/>
      <c r="K7" s="11" t="s">
        <v>46</v>
      </c>
      <c r="L7" s="12"/>
      <c r="M7" s="12"/>
      <c r="N7" s="11" t="s">
        <v>88</v>
      </c>
      <c r="O7" s="12"/>
      <c r="P7" s="5"/>
      <c r="Q7" s="8" t="s">
        <v>89</v>
      </c>
      <c r="R7" s="9" t="n">
        <f aca="false">COUNTIF(K$4:K$60,"Ready for dev")</f>
        <v>1</v>
      </c>
    </row>
    <row r="8" customFormat="false" ht="27.75" hidden="false" customHeight="true" outlineLevel="0" collapsed="false">
      <c r="A8" s="11" t="s">
        <v>90</v>
      </c>
      <c r="B8" s="11" t="s">
        <v>84</v>
      </c>
      <c r="C8" s="11" t="s">
        <v>91</v>
      </c>
      <c r="D8" s="11" t="s">
        <v>63</v>
      </c>
      <c r="E8" s="11" t="s">
        <v>51</v>
      </c>
      <c r="F8" s="11" t="s">
        <v>92</v>
      </c>
      <c r="G8" s="11" t="s">
        <v>93</v>
      </c>
      <c r="H8" s="11" t="s">
        <v>54</v>
      </c>
      <c r="I8" s="11" t="n">
        <v>2</v>
      </c>
      <c r="J8" s="12"/>
      <c r="K8" s="11" t="s">
        <v>46</v>
      </c>
      <c r="L8" s="12"/>
      <c r="M8" s="12"/>
      <c r="N8" s="11" t="s">
        <v>94</v>
      </c>
      <c r="O8" s="12"/>
      <c r="P8" s="5"/>
      <c r="Q8" s="8" t="s">
        <v>95</v>
      </c>
      <c r="R8" s="9" t="n">
        <f aca="false">COUNTIF(K$4:K$60,"Live")</f>
        <v>0</v>
      </c>
    </row>
    <row r="9" customFormat="false" ht="15" hidden="false" customHeight="false" outlineLevel="0" collapsed="false">
      <c r="A9" s="11" t="s">
        <v>96</v>
      </c>
      <c r="B9" s="11" t="s">
        <v>84</v>
      </c>
      <c r="C9" s="11" t="s">
        <v>97</v>
      </c>
      <c r="D9" s="11" t="s">
        <v>69</v>
      </c>
      <c r="E9" s="11" t="s">
        <v>51</v>
      </c>
      <c r="F9" s="11" t="s">
        <v>98</v>
      </c>
      <c r="G9" s="11" t="s">
        <v>99</v>
      </c>
      <c r="H9" s="11" t="s">
        <v>54</v>
      </c>
      <c r="I9" s="11" t="n">
        <v>2</v>
      </c>
      <c r="J9" s="12"/>
      <c r="K9" s="11" t="s">
        <v>46</v>
      </c>
      <c r="L9" s="12"/>
      <c r="M9" s="12"/>
      <c r="N9" s="11" t="s">
        <v>100</v>
      </c>
      <c r="O9" s="12"/>
      <c r="P9" s="5"/>
      <c r="Q9" s="8" t="s">
        <v>101</v>
      </c>
      <c r="R9" s="9" t="n">
        <f aca="false">COUNTIF(K$4:K$60,"On hold")</f>
        <v>0</v>
      </c>
    </row>
    <row r="10" customFormat="false" ht="27.75" hidden="false" customHeight="true" outlineLevel="0" collapsed="false">
      <c r="A10" s="11" t="s">
        <v>102</v>
      </c>
      <c r="B10" s="11" t="s">
        <v>103</v>
      </c>
      <c r="C10" s="11" t="s">
        <v>104</v>
      </c>
      <c r="D10" s="11" t="s">
        <v>69</v>
      </c>
      <c r="E10" s="11" t="s">
        <v>51</v>
      </c>
      <c r="F10" s="11" t="s">
        <v>105</v>
      </c>
      <c r="G10" s="11" t="s">
        <v>106</v>
      </c>
      <c r="H10" s="11" t="s">
        <v>54</v>
      </c>
      <c r="I10" s="11" t="n">
        <v>2</v>
      </c>
      <c r="J10" s="12"/>
      <c r="K10" s="11" t="s">
        <v>46</v>
      </c>
      <c r="L10" s="12"/>
      <c r="M10" s="12"/>
      <c r="N10" s="11" t="s">
        <v>107</v>
      </c>
      <c r="O10" s="11" t="s">
        <v>108</v>
      </c>
      <c r="P10" s="5"/>
      <c r="Q10" s="5"/>
      <c r="R10" s="5"/>
    </row>
    <row r="11" customFormat="false" ht="15" hidden="false" customHeight="false" outlineLevel="0" collapsed="false">
      <c r="A11" s="11" t="s">
        <v>109</v>
      </c>
      <c r="B11" s="11" t="s">
        <v>110</v>
      </c>
      <c r="C11" s="11" t="s">
        <v>111</v>
      </c>
      <c r="D11" s="11" t="s">
        <v>76</v>
      </c>
      <c r="E11" s="11" t="s">
        <v>112</v>
      </c>
      <c r="F11" s="12"/>
      <c r="G11" s="11" t="s">
        <v>113</v>
      </c>
      <c r="H11" s="11" t="s">
        <v>54</v>
      </c>
      <c r="I11" s="11" t="n">
        <v>2</v>
      </c>
      <c r="J11" s="12"/>
      <c r="K11" s="11" t="s">
        <v>46</v>
      </c>
      <c r="L11" s="12"/>
      <c r="M11" s="12"/>
      <c r="N11" s="11" t="s">
        <v>114</v>
      </c>
      <c r="O11" s="11" t="s">
        <v>115</v>
      </c>
      <c r="P11" s="5"/>
      <c r="Q11" s="8" t="s">
        <v>48</v>
      </c>
      <c r="R11" s="9" t="n">
        <f aca="false">COUNTIF(B$4:B$60,"Hub page")</f>
        <v>2</v>
      </c>
    </row>
    <row r="12" customFormat="false" ht="35.05" hidden="false" customHeight="false" outlineLevel="0" collapsed="false">
      <c r="A12" s="11" t="s">
        <v>116</v>
      </c>
      <c r="B12" s="11" t="s">
        <v>117</v>
      </c>
      <c r="C12" s="11" t="s">
        <v>118</v>
      </c>
      <c r="D12" s="11" t="s">
        <v>76</v>
      </c>
      <c r="E12" s="11" t="s">
        <v>51</v>
      </c>
      <c r="F12" s="12"/>
      <c r="G12" s="11" t="s">
        <v>119</v>
      </c>
      <c r="H12" s="11" t="s">
        <v>54</v>
      </c>
      <c r="I12" s="11" t="n">
        <v>3</v>
      </c>
      <c r="J12" s="12"/>
      <c r="K12" s="11" t="s">
        <v>56</v>
      </c>
      <c r="L12" s="12"/>
      <c r="M12" s="12"/>
      <c r="N12" s="11" t="s">
        <v>117</v>
      </c>
      <c r="O12" s="12" t="s">
        <v>120</v>
      </c>
      <c r="P12" s="5"/>
      <c r="Q12" s="8" t="s">
        <v>74</v>
      </c>
      <c r="R12" s="9" t="n">
        <f aca="false">COUNTIF(B$4:B$60,"Product page")</f>
        <v>1</v>
      </c>
    </row>
    <row r="13" customFormat="false" ht="15" hidden="false" customHeight="false" outlineLevel="0" collapsed="false">
      <c r="A13" s="11" t="s">
        <v>121</v>
      </c>
      <c r="B13" s="11" t="s">
        <v>122</v>
      </c>
      <c r="C13" s="11" t="s">
        <v>123</v>
      </c>
      <c r="D13" s="11" t="s">
        <v>76</v>
      </c>
      <c r="E13" s="11" t="s">
        <v>51</v>
      </c>
      <c r="F13" s="11" t="s">
        <v>124</v>
      </c>
      <c r="G13" s="11" t="s">
        <v>125</v>
      </c>
      <c r="H13" s="11" t="s">
        <v>54</v>
      </c>
      <c r="I13" s="11" t="n">
        <v>3</v>
      </c>
      <c r="J13" s="12"/>
      <c r="K13" s="11" t="s">
        <v>46</v>
      </c>
      <c r="L13" s="12"/>
      <c r="M13" s="12"/>
      <c r="N13" s="11" t="s">
        <v>126</v>
      </c>
      <c r="O13" s="11" t="s">
        <v>127</v>
      </c>
      <c r="P13" s="5"/>
      <c r="Q13" s="8" t="s">
        <v>84</v>
      </c>
      <c r="R13" s="9" t="n">
        <f aca="false">COUNTIF(B$4:B$60,"Technical page")</f>
        <v>3</v>
      </c>
    </row>
    <row r="14" customFormat="false" ht="15" hidden="false" customHeight="false" outlineLevel="0" collapsed="false">
      <c r="A14" s="11" t="s">
        <v>128</v>
      </c>
      <c r="B14" s="11" t="s">
        <v>129</v>
      </c>
      <c r="C14" s="11" t="s">
        <v>130</v>
      </c>
      <c r="D14" s="11" t="s">
        <v>76</v>
      </c>
      <c r="E14" s="11" t="s">
        <v>51</v>
      </c>
      <c r="F14" s="11" t="s">
        <v>131</v>
      </c>
      <c r="G14" s="11" t="s">
        <v>132</v>
      </c>
      <c r="H14" s="11" t="s">
        <v>133</v>
      </c>
      <c r="I14" s="11" t="n">
        <v>1</v>
      </c>
      <c r="J14" s="12"/>
      <c r="K14" s="11" t="s">
        <v>46</v>
      </c>
      <c r="L14" s="12"/>
      <c r="M14" s="12"/>
      <c r="N14" s="11" t="s">
        <v>134</v>
      </c>
      <c r="O14" s="12"/>
      <c r="P14" s="5"/>
      <c r="Q14" s="8" t="s">
        <v>110</v>
      </c>
      <c r="R14" s="9" t="n">
        <f aca="false">COUNTIF(B$4:B$60,"Case study")</f>
        <v>1</v>
      </c>
    </row>
    <row r="15" customFormat="false" ht="15" hidden="false" customHeight="false" outlineLevel="0" collapsed="false">
      <c r="A15" s="11" t="s">
        <v>135</v>
      </c>
      <c r="B15" s="11" t="s">
        <v>129</v>
      </c>
      <c r="C15" s="11" t="s">
        <v>136</v>
      </c>
      <c r="D15" s="11" t="s">
        <v>76</v>
      </c>
      <c r="E15" s="11" t="s">
        <v>51</v>
      </c>
      <c r="F15" s="11" t="s">
        <v>137</v>
      </c>
      <c r="G15" s="11" t="s">
        <v>138</v>
      </c>
      <c r="H15" s="11" t="s">
        <v>133</v>
      </c>
      <c r="I15" s="11" t="n">
        <v>1</v>
      </c>
      <c r="J15" s="12"/>
      <c r="K15" s="11" t="s">
        <v>46</v>
      </c>
      <c r="L15" s="12"/>
      <c r="M15" s="12"/>
      <c r="N15" s="11" t="s">
        <v>134</v>
      </c>
      <c r="O15" s="12"/>
      <c r="P15" s="5"/>
      <c r="Q15" s="8" t="s">
        <v>129</v>
      </c>
      <c r="R15" s="9" t="n">
        <f aca="false">COUNTIF(B$4:B$60,"Application page")</f>
        <v>5</v>
      </c>
    </row>
    <row r="16" customFormat="false" ht="15" hidden="false" customHeight="false" outlineLevel="0" collapsed="false">
      <c r="A16" s="11" t="s">
        <v>139</v>
      </c>
      <c r="B16" s="11" t="s">
        <v>129</v>
      </c>
      <c r="C16" s="11" t="s">
        <v>140</v>
      </c>
      <c r="D16" s="11" t="s">
        <v>76</v>
      </c>
      <c r="E16" s="11" t="s">
        <v>51</v>
      </c>
      <c r="F16" s="11" t="s">
        <v>141</v>
      </c>
      <c r="G16" s="11" t="s">
        <v>142</v>
      </c>
      <c r="H16" s="11" t="s">
        <v>133</v>
      </c>
      <c r="I16" s="11" t="n">
        <v>2</v>
      </c>
      <c r="J16" s="12"/>
      <c r="K16" s="11" t="s">
        <v>46</v>
      </c>
      <c r="L16" s="12"/>
      <c r="M16" s="12"/>
      <c r="N16" s="11" t="s">
        <v>134</v>
      </c>
      <c r="O16" s="12"/>
      <c r="P16" s="5"/>
      <c r="Q16" s="8" t="s">
        <v>143</v>
      </c>
      <c r="R16" s="9" t="n">
        <f aca="false">COUNTIF(B$4:B$60,"Blog post")</f>
        <v>1</v>
      </c>
    </row>
    <row r="17" customFormat="false" ht="15" hidden="false" customHeight="false" outlineLevel="0" collapsed="false">
      <c r="A17" s="11" t="s">
        <v>144</v>
      </c>
      <c r="B17" s="11" t="s">
        <v>129</v>
      </c>
      <c r="C17" s="11" t="s">
        <v>145</v>
      </c>
      <c r="D17" s="11" t="s">
        <v>76</v>
      </c>
      <c r="E17" s="11" t="s">
        <v>51</v>
      </c>
      <c r="F17" s="11" t="s">
        <v>146</v>
      </c>
      <c r="G17" s="11" t="s">
        <v>147</v>
      </c>
      <c r="H17" s="11" t="s">
        <v>133</v>
      </c>
      <c r="I17" s="11" t="n">
        <v>2</v>
      </c>
      <c r="J17" s="12"/>
      <c r="K17" s="11" t="s">
        <v>46</v>
      </c>
      <c r="L17" s="12"/>
      <c r="M17" s="12"/>
      <c r="N17" s="11" t="s">
        <v>134</v>
      </c>
      <c r="O17" s="12"/>
      <c r="P17" s="5"/>
      <c r="Q17" s="8" t="s">
        <v>103</v>
      </c>
      <c r="R17" s="9" t="n">
        <f aca="false">COUNTIF(B$4:B$60,"Booth price guide")</f>
        <v>1</v>
      </c>
    </row>
    <row r="18" customFormat="false" ht="15" hidden="false" customHeight="false" outlineLevel="0" collapsed="false">
      <c r="A18" s="11" t="s">
        <v>148</v>
      </c>
      <c r="B18" s="11" t="s">
        <v>129</v>
      </c>
      <c r="C18" s="11" t="s">
        <v>149</v>
      </c>
      <c r="D18" s="11" t="s">
        <v>76</v>
      </c>
      <c r="E18" s="11" t="s">
        <v>51</v>
      </c>
      <c r="F18" s="11" t="s">
        <v>150</v>
      </c>
      <c r="G18" s="11" t="s">
        <v>151</v>
      </c>
      <c r="H18" s="11" t="s">
        <v>133</v>
      </c>
      <c r="I18" s="11" t="n">
        <v>3</v>
      </c>
      <c r="J18" s="12"/>
      <c r="K18" s="11" t="s">
        <v>46</v>
      </c>
      <c r="L18" s="12"/>
      <c r="M18" s="12"/>
      <c r="N18" s="11" t="s">
        <v>134</v>
      </c>
      <c r="O18" s="12"/>
      <c r="P18" s="5"/>
      <c r="Q18" s="8" t="s">
        <v>122</v>
      </c>
      <c r="R18" s="9" t="n">
        <f aca="false">COUNTIF(B$4:B$60,"Dealer/showroom")</f>
        <v>1</v>
      </c>
    </row>
    <row r="19" customFormat="false" ht="27.75" hidden="false" customHeight="true" outlineLevel="0" collapsed="false">
      <c r="A19" s="11" t="s">
        <v>152</v>
      </c>
      <c r="B19" s="11" t="s">
        <v>143</v>
      </c>
      <c r="C19" s="11" t="s">
        <v>153</v>
      </c>
      <c r="D19" s="11" t="s">
        <v>76</v>
      </c>
      <c r="E19" s="11" t="s">
        <v>154</v>
      </c>
      <c r="F19" s="12"/>
      <c r="G19" s="11" t="s">
        <v>155</v>
      </c>
      <c r="H19" s="11" t="s">
        <v>133</v>
      </c>
      <c r="I19" s="11" t="n">
        <v>2</v>
      </c>
      <c r="J19" s="12"/>
      <c r="K19" s="11" t="s">
        <v>89</v>
      </c>
      <c r="L19" s="12"/>
      <c r="M19" s="12"/>
      <c r="N19" s="11" t="s">
        <v>156</v>
      </c>
      <c r="O19" s="11" t="s">
        <v>157</v>
      </c>
      <c r="P19" s="5"/>
      <c r="Q19" s="8" t="s">
        <v>117</v>
      </c>
      <c r="R19" s="9" t="n">
        <f aca="false">COUNTIF(B$4:B$60,"FAQ")</f>
        <v>1</v>
      </c>
    </row>
    <row r="20" customFormat="false" ht="15" hidden="false" customHeight="false" outlineLevel="0" collapsed="false">
      <c r="A20" s="11" t="s">
        <v>158</v>
      </c>
      <c r="B20" s="11" t="s">
        <v>159</v>
      </c>
      <c r="C20" s="11" t="s">
        <v>160</v>
      </c>
      <c r="D20" s="11" t="s">
        <v>76</v>
      </c>
      <c r="E20" s="11" t="s">
        <v>77</v>
      </c>
      <c r="F20" s="12"/>
      <c r="G20" s="11" t="s">
        <v>161</v>
      </c>
      <c r="H20" s="11" t="s">
        <v>133</v>
      </c>
      <c r="I20" s="11" t="n">
        <v>2</v>
      </c>
      <c r="J20" s="12"/>
      <c r="K20" s="11" t="s">
        <v>46</v>
      </c>
      <c r="L20" s="12"/>
      <c r="M20" s="12"/>
      <c r="N20" s="11" t="s">
        <v>162</v>
      </c>
      <c r="O20" s="12"/>
      <c r="P20" s="5"/>
      <c r="Q20" s="8" t="s">
        <v>159</v>
      </c>
      <c r="R20" s="9" t="n">
        <f aca="false">COUNTIF(B$4:B$60,"Listing")</f>
        <v>1</v>
      </c>
    </row>
    <row r="21" customFormat="false" ht="15" hidden="false" customHeight="false" outlineLevel="0" collapsed="false">
      <c r="A21" s="12"/>
      <c r="B21" s="12"/>
      <c r="C21" s="12"/>
      <c r="D21" s="12"/>
      <c r="E21" s="12"/>
      <c r="F21" s="12"/>
      <c r="G21" s="12"/>
      <c r="H21" s="12"/>
      <c r="I21" s="12"/>
      <c r="J21" s="12"/>
      <c r="K21" s="12"/>
      <c r="L21" s="12"/>
      <c r="M21" s="12"/>
      <c r="N21" s="12"/>
      <c r="O21" s="12"/>
      <c r="P21" s="5"/>
      <c r="Q21" s="5"/>
      <c r="R21" s="5"/>
    </row>
    <row r="22" customFormat="false" ht="15" hidden="false" customHeight="false" outlineLevel="0" collapsed="false">
      <c r="A22" s="12"/>
      <c r="B22" s="12"/>
      <c r="C22" s="12"/>
      <c r="D22" s="12"/>
      <c r="E22" s="12"/>
      <c r="F22" s="12"/>
      <c r="G22" s="12"/>
      <c r="H22" s="12"/>
      <c r="I22" s="12"/>
      <c r="J22" s="12"/>
      <c r="K22" s="12"/>
      <c r="L22" s="12"/>
      <c r="M22" s="12"/>
      <c r="N22" s="12"/>
      <c r="O22" s="12"/>
      <c r="P22" s="5"/>
      <c r="Q22" s="8" t="s">
        <v>163</v>
      </c>
      <c r="R22" s="9" t="n">
        <f aca="false">COUNTIF(H$4:H$60,"P0")</f>
        <v>0</v>
      </c>
    </row>
    <row r="23" customFormat="false" ht="15" hidden="false" customHeight="false" outlineLevel="0" collapsed="false">
      <c r="A23" s="12"/>
      <c r="B23" s="12"/>
      <c r="C23" s="12"/>
      <c r="D23" s="12"/>
      <c r="E23" s="12"/>
      <c r="F23" s="12"/>
      <c r="G23" s="12"/>
      <c r="H23" s="12"/>
      <c r="I23" s="12"/>
      <c r="J23" s="12"/>
      <c r="K23" s="12"/>
      <c r="L23" s="12"/>
      <c r="M23" s="12"/>
      <c r="N23" s="12"/>
      <c r="O23" s="12"/>
      <c r="P23" s="5"/>
      <c r="Q23" s="8" t="s">
        <v>164</v>
      </c>
      <c r="R23" s="9" t="n">
        <f aca="false">COUNTIF(H$4:H$60,"P1")</f>
        <v>10</v>
      </c>
    </row>
    <row r="24" customFormat="false" ht="15" hidden="false" customHeight="false" outlineLevel="0" collapsed="false">
      <c r="A24" s="12"/>
      <c r="B24" s="12"/>
      <c r="C24" s="12"/>
      <c r="D24" s="12"/>
      <c r="E24" s="12"/>
      <c r="F24" s="12"/>
      <c r="G24" s="12"/>
      <c r="H24" s="12"/>
      <c r="I24" s="12"/>
      <c r="J24" s="12"/>
      <c r="K24" s="12"/>
      <c r="L24" s="12"/>
      <c r="M24" s="12"/>
      <c r="N24" s="12"/>
      <c r="O24" s="12"/>
      <c r="P24" s="5"/>
      <c r="Q24" s="8" t="s">
        <v>165</v>
      </c>
      <c r="R24" s="9" t="n">
        <f aca="false">COUNTIF(H$4:H$60,"P2")</f>
        <v>7</v>
      </c>
    </row>
    <row r="25" customFormat="false" ht="15" hidden="false" customHeight="false" outlineLevel="0" collapsed="false">
      <c r="A25" s="12"/>
      <c r="B25" s="12"/>
      <c r="C25" s="12"/>
      <c r="D25" s="12"/>
      <c r="E25" s="12"/>
      <c r="F25" s="12"/>
      <c r="G25" s="12"/>
      <c r="H25" s="12"/>
      <c r="I25" s="12"/>
      <c r="J25" s="12"/>
      <c r="K25" s="12"/>
      <c r="L25" s="12"/>
      <c r="M25" s="12"/>
      <c r="N25" s="12"/>
      <c r="O25" s="12"/>
      <c r="P25" s="5"/>
      <c r="Q25" s="3" t="s">
        <v>166</v>
      </c>
      <c r="R25" s="9" t="n">
        <f aca="false">COUNTIF(K$4:K$60,"Live")</f>
        <v>0</v>
      </c>
    </row>
    <row r="26" customFormat="false" ht="15" hidden="false" customHeight="false" outlineLevel="0" collapsed="false">
      <c r="A26" s="12"/>
      <c r="B26" s="12"/>
      <c r="C26" s="12"/>
      <c r="D26" s="12"/>
      <c r="E26" s="12"/>
      <c r="F26" s="12"/>
      <c r="G26" s="12"/>
      <c r="H26" s="12"/>
      <c r="I26" s="12"/>
      <c r="J26" s="12"/>
      <c r="K26" s="12"/>
      <c r="L26" s="12"/>
      <c r="M26" s="12"/>
      <c r="N26" s="12"/>
      <c r="O26" s="12"/>
      <c r="P26" s="5"/>
      <c r="Q26" s="5"/>
      <c r="R26" s="5"/>
    </row>
    <row r="27" customFormat="false" ht="15" hidden="false" customHeight="false" outlineLevel="0" collapsed="false">
      <c r="A27" s="12"/>
      <c r="B27" s="12"/>
      <c r="C27" s="12"/>
      <c r="D27" s="12"/>
      <c r="E27" s="12"/>
      <c r="F27" s="12"/>
      <c r="G27" s="12"/>
      <c r="H27" s="12"/>
      <c r="I27" s="12"/>
      <c r="J27" s="12"/>
      <c r="K27" s="12"/>
      <c r="L27" s="12"/>
      <c r="M27" s="12"/>
      <c r="N27" s="12"/>
      <c r="O27" s="12"/>
      <c r="P27" s="5"/>
      <c r="Q27" s="5"/>
      <c r="R27" s="5"/>
    </row>
    <row r="28" customFormat="false" ht="15" hidden="false" customHeight="false" outlineLevel="0" collapsed="false">
      <c r="A28" s="12"/>
      <c r="B28" s="12"/>
      <c r="C28" s="12"/>
      <c r="D28" s="12"/>
      <c r="E28" s="12"/>
      <c r="F28" s="12"/>
      <c r="G28" s="12"/>
      <c r="H28" s="12"/>
      <c r="I28" s="12"/>
      <c r="J28" s="12"/>
      <c r="K28" s="12"/>
      <c r="L28" s="12"/>
      <c r="M28" s="12"/>
      <c r="N28" s="12"/>
      <c r="O28" s="12"/>
      <c r="P28" s="5"/>
      <c r="Q28" s="5"/>
      <c r="R28" s="5"/>
    </row>
    <row r="29" customFormat="false" ht="15" hidden="false" customHeight="false" outlineLevel="0" collapsed="false">
      <c r="A29" s="12"/>
      <c r="B29" s="12"/>
      <c r="C29" s="12"/>
      <c r="D29" s="12"/>
      <c r="E29" s="12"/>
      <c r="F29" s="12"/>
      <c r="G29" s="12"/>
      <c r="H29" s="12"/>
      <c r="I29" s="12"/>
      <c r="J29" s="12"/>
      <c r="K29" s="12"/>
      <c r="L29" s="12"/>
      <c r="M29" s="12"/>
      <c r="N29" s="12"/>
      <c r="O29" s="12"/>
      <c r="P29" s="5"/>
      <c r="Q29" s="5"/>
      <c r="R29" s="5"/>
    </row>
    <row r="30" customFormat="false" ht="15" hidden="false" customHeight="false" outlineLevel="0" collapsed="false">
      <c r="A30" s="12"/>
      <c r="B30" s="12"/>
      <c r="C30" s="12"/>
      <c r="D30" s="12"/>
      <c r="E30" s="12"/>
      <c r="F30" s="12"/>
      <c r="G30" s="12"/>
      <c r="H30" s="12"/>
      <c r="I30" s="12"/>
      <c r="J30" s="12"/>
      <c r="K30" s="12"/>
      <c r="L30" s="12"/>
      <c r="M30" s="12"/>
      <c r="N30" s="12"/>
      <c r="O30" s="12"/>
      <c r="P30" s="5"/>
      <c r="Q30" s="5"/>
      <c r="R30" s="5"/>
    </row>
    <row r="31" customFormat="false" ht="15" hidden="false" customHeight="false" outlineLevel="0" collapsed="false">
      <c r="A31" s="12"/>
      <c r="B31" s="12"/>
      <c r="C31" s="12"/>
      <c r="D31" s="12"/>
      <c r="E31" s="12"/>
      <c r="F31" s="12"/>
      <c r="G31" s="12"/>
      <c r="H31" s="12"/>
      <c r="I31" s="12"/>
      <c r="J31" s="12"/>
      <c r="K31" s="12"/>
      <c r="L31" s="12"/>
      <c r="M31" s="12"/>
      <c r="N31" s="12"/>
      <c r="O31" s="12"/>
      <c r="P31" s="5"/>
      <c r="Q31" s="5"/>
      <c r="R31" s="5"/>
    </row>
    <row r="32" customFormat="false" ht="15" hidden="false" customHeight="false" outlineLevel="0" collapsed="false">
      <c r="A32" s="12"/>
      <c r="B32" s="12"/>
      <c r="C32" s="12"/>
      <c r="D32" s="12"/>
      <c r="E32" s="12"/>
      <c r="F32" s="12"/>
      <c r="G32" s="12"/>
      <c r="H32" s="12"/>
      <c r="I32" s="12"/>
      <c r="J32" s="12"/>
      <c r="K32" s="12"/>
      <c r="L32" s="12"/>
      <c r="M32" s="12"/>
      <c r="N32" s="12"/>
      <c r="O32" s="12"/>
      <c r="P32" s="5"/>
      <c r="Q32" s="5"/>
      <c r="R32" s="5"/>
    </row>
    <row r="33" customFormat="false" ht="15" hidden="false" customHeight="false" outlineLevel="0" collapsed="false">
      <c r="A33" s="12"/>
      <c r="B33" s="12"/>
      <c r="C33" s="12"/>
      <c r="D33" s="12"/>
      <c r="E33" s="12"/>
      <c r="F33" s="12"/>
      <c r="G33" s="12"/>
      <c r="H33" s="12"/>
      <c r="I33" s="12"/>
      <c r="J33" s="12"/>
      <c r="K33" s="12"/>
      <c r="L33" s="12"/>
      <c r="M33" s="12"/>
      <c r="N33" s="12"/>
      <c r="O33" s="12"/>
      <c r="P33" s="5"/>
      <c r="Q33" s="5"/>
      <c r="R33" s="5"/>
    </row>
    <row r="34" customFormat="false" ht="15" hidden="false" customHeight="false" outlineLevel="0" collapsed="false">
      <c r="A34" s="12"/>
      <c r="B34" s="12"/>
      <c r="C34" s="12"/>
      <c r="D34" s="12"/>
      <c r="E34" s="12"/>
      <c r="F34" s="12"/>
      <c r="G34" s="12"/>
      <c r="H34" s="12"/>
      <c r="I34" s="12"/>
      <c r="J34" s="12"/>
      <c r="K34" s="12"/>
      <c r="L34" s="12"/>
      <c r="M34" s="12"/>
      <c r="N34" s="12"/>
      <c r="O34" s="12"/>
      <c r="P34" s="5"/>
      <c r="Q34" s="5"/>
      <c r="R34" s="5"/>
    </row>
    <row r="35" customFormat="false" ht="15" hidden="false" customHeight="false" outlineLevel="0" collapsed="false">
      <c r="A35" s="12"/>
      <c r="B35" s="12"/>
      <c r="C35" s="12"/>
      <c r="D35" s="12"/>
      <c r="E35" s="12"/>
      <c r="F35" s="12"/>
      <c r="G35" s="12"/>
      <c r="H35" s="12"/>
      <c r="I35" s="12"/>
      <c r="J35" s="12"/>
      <c r="K35" s="12"/>
      <c r="L35" s="12"/>
      <c r="M35" s="12"/>
      <c r="N35" s="12"/>
      <c r="O35" s="12"/>
      <c r="P35" s="5"/>
      <c r="Q35" s="5"/>
      <c r="R35" s="5"/>
    </row>
    <row r="36" customFormat="false" ht="15" hidden="false" customHeight="false" outlineLevel="0" collapsed="false">
      <c r="A36" s="12"/>
      <c r="B36" s="12"/>
      <c r="C36" s="12"/>
      <c r="D36" s="12"/>
      <c r="E36" s="12"/>
      <c r="F36" s="12"/>
      <c r="G36" s="12"/>
      <c r="H36" s="12"/>
      <c r="I36" s="12"/>
      <c r="J36" s="12"/>
      <c r="K36" s="12"/>
      <c r="L36" s="12"/>
      <c r="M36" s="12"/>
      <c r="N36" s="12"/>
      <c r="O36" s="12"/>
      <c r="P36" s="5"/>
      <c r="Q36" s="5"/>
      <c r="R36" s="5"/>
    </row>
    <row r="37" customFormat="false" ht="15" hidden="false" customHeight="false" outlineLevel="0" collapsed="false">
      <c r="A37" s="12"/>
      <c r="B37" s="12"/>
      <c r="C37" s="12"/>
      <c r="D37" s="12"/>
      <c r="E37" s="12"/>
      <c r="F37" s="12"/>
      <c r="G37" s="12"/>
      <c r="H37" s="12"/>
      <c r="I37" s="12"/>
      <c r="J37" s="12"/>
      <c r="K37" s="12"/>
      <c r="L37" s="12"/>
      <c r="M37" s="12"/>
      <c r="N37" s="12"/>
      <c r="O37" s="12"/>
      <c r="P37" s="5"/>
      <c r="Q37" s="5"/>
      <c r="R37" s="5"/>
    </row>
    <row r="38" customFormat="false" ht="15" hidden="false" customHeight="false" outlineLevel="0" collapsed="false">
      <c r="A38" s="12"/>
      <c r="B38" s="12"/>
      <c r="C38" s="12"/>
      <c r="D38" s="12"/>
      <c r="E38" s="12"/>
      <c r="F38" s="12"/>
      <c r="G38" s="12"/>
      <c r="H38" s="12"/>
      <c r="I38" s="12"/>
      <c r="J38" s="12"/>
      <c r="K38" s="12"/>
      <c r="L38" s="12"/>
      <c r="M38" s="12"/>
      <c r="N38" s="12"/>
      <c r="O38" s="12"/>
      <c r="P38" s="5"/>
      <c r="Q38" s="5"/>
      <c r="R38" s="5"/>
    </row>
    <row r="39" customFormat="false" ht="15" hidden="false" customHeight="false" outlineLevel="0" collapsed="false">
      <c r="A39" s="12"/>
      <c r="B39" s="12"/>
      <c r="C39" s="12"/>
      <c r="D39" s="12"/>
      <c r="E39" s="12"/>
      <c r="F39" s="12"/>
      <c r="G39" s="12"/>
      <c r="H39" s="12"/>
      <c r="I39" s="12"/>
      <c r="J39" s="12"/>
      <c r="K39" s="12"/>
      <c r="L39" s="12"/>
      <c r="M39" s="12"/>
      <c r="N39" s="12"/>
      <c r="O39" s="12"/>
      <c r="P39" s="5"/>
      <c r="Q39" s="5"/>
      <c r="R39" s="5"/>
    </row>
    <row r="40" customFormat="false" ht="15" hidden="false" customHeight="false" outlineLevel="0" collapsed="false">
      <c r="A40" s="12"/>
      <c r="B40" s="12"/>
      <c r="C40" s="12"/>
      <c r="D40" s="12"/>
      <c r="E40" s="12"/>
      <c r="F40" s="12"/>
      <c r="G40" s="12"/>
      <c r="H40" s="12"/>
      <c r="I40" s="12"/>
      <c r="J40" s="12"/>
      <c r="K40" s="12"/>
      <c r="L40" s="12"/>
      <c r="M40" s="12"/>
      <c r="N40" s="12"/>
      <c r="O40" s="12"/>
      <c r="P40" s="5"/>
      <c r="Q40" s="5"/>
      <c r="R40" s="5"/>
    </row>
    <row r="41" customFormat="false" ht="15" hidden="false" customHeight="false" outlineLevel="0" collapsed="false">
      <c r="A41" s="12"/>
      <c r="B41" s="12"/>
      <c r="C41" s="12"/>
      <c r="D41" s="12"/>
      <c r="E41" s="12"/>
      <c r="F41" s="12"/>
      <c r="G41" s="12"/>
      <c r="H41" s="12"/>
      <c r="I41" s="12"/>
      <c r="J41" s="12"/>
      <c r="K41" s="12"/>
      <c r="L41" s="12"/>
      <c r="M41" s="12"/>
      <c r="N41" s="12"/>
      <c r="O41" s="12"/>
      <c r="P41" s="5"/>
      <c r="Q41" s="5"/>
      <c r="R41" s="5"/>
    </row>
    <row r="42" customFormat="false" ht="15" hidden="false" customHeight="false" outlineLevel="0" collapsed="false">
      <c r="A42" s="12"/>
      <c r="B42" s="12"/>
      <c r="C42" s="12"/>
      <c r="D42" s="12"/>
      <c r="E42" s="12"/>
      <c r="F42" s="12"/>
      <c r="G42" s="12"/>
      <c r="H42" s="12"/>
      <c r="I42" s="12"/>
      <c r="J42" s="12"/>
      <c r="K42" s="12"/>
      <c r="L42" s="12"/>
      <c r="M42" s="12"/>
      <c r="N42" s="12"/>
      <c r="O42" s="12"/>
      <c r="P42" s="5"/>
      <c r="Q42" s="5"/>
      <c r="R42" s="5"/>
    </row>
    <row r="43" customFormat="false" ht="15" hidden="false" customHeight="false" outlineLevel="0" collapsed="false">
      <c r="A43" s="12"/>
      <c r="B43" s="12"/>
      <c r="C43" s="12"/>
      <c r="D43" s="12"/>
      <c r="E43" s="12"/>
      <c r="F43" s="12"/>
      <c r="G43" s="12"/>
      <c r="H43" s="12"/>
      <c r="I43" s="12"/>
      <c r="J43" s="12"/>
      <c r="K43" s="12"/>
      <c r="L43" s="12"/>
      <c r="M43" s="12"/>
      <c r="N43" s="12"/>
      <c r="O43" s="12"/>
      <c r="P43" s="5"/>
      <c r="Q43" s="5"/>
      <c r="R43" s="5"/>
    </row>
    <row r="44" customFormat="false" ht="15" hidden="false" customHeight="false" outlineLevel="0" collapsed="false">
      <c r="A44" s="12"/>
      <c r="B44" s="12"/>
      <c r="C44" s="12"/>
      <c r="D44" s="12"/>
      <c r="E44" s="12"/>
      <c r="F44" s="12"/>
      <c r="G44" s="12"/>
      <c r="H44" s="12"/>
      <c r="I44" s="12"/>
      <c r="J44" s="12"/>
      <c r="K44" s="12"/>
      <c r="L44" s="12"/>
      <c r="M44" s="12"/>
      <c r="N44" s="12"/>
      <c r="O44" s="12"/>
      <c r="P44" s="5"/>
      <c r="Q44" s="5"/>
      <c r="R44" s="5"/>
    </row>
    <row r="45" customFormat="false" ht="15" hidden="false" customHeight="false" outlineLevel="0" collapsed="false">
      <c r="A45" s="12"/>
      <c r="B45" s="12"/>
      <c r="C45" s="12"/>
      <c r="D45" s="12"/>
      <c r="E45" s="12"/>
      <c r="F45" s="12"/>
      <c r="G45" s="12"/>
      <c r="H45" s="12"/>
      <c r="I45" s="12"/>
      <c r="J45" s="12"/>
      <c r="K45" s="12"/>
      <c r="L45" s="12"/>
      <c r="M45" s="12"/>
      <c r="N45" s="12"/>
      <c r="O45" s="12"/>
      <c r="P45" s="5"/>
      <c r="Q45" s="5"/>
      <c r="R45" s="5"/>
    </row>
    <row r="46" customFormat="false" ht="15" hidden="false" customHeight="false" outlineLevel="0" collapsed="false">
      <c r="A46" s="12"/>
      <c r="B46" s="12"/>
      <c r="C46" s="12"/>
      <c r="D46" s="12"/>
      <c r="E46" s="12"/>
      <c r="F46" s="12"/>
      <c r="G46" s="12"/>
      <c r="H46" s="12"/>
      <c r="I46" s="12"/>
      <c r="J46" s="12"/>
      <c r="K46" s="12"/>
      <c r="L46" s="12"/>
      <c r="M46" s="12"/>
      <c r="N46" s="12"/>
      <c r="O46" s="12"/>
      <c r="P46" s="5"/>
      <c r="Q46" s="5"/>
      <c r="R46" s="5"/>
    </row>
    <row r="47" customFormat="false" ht="15" hidden="false" customHeight="false" outlineLevel="0" collapsed="false">
      <c r="A47" s="12"/>
      <c r="B47" s="12"/>
      <c r="C47" s="12"/>
      <c r="D47" s="12"/>
      <c r="E47" s="12"/>
      <c r="F47" s="12"/>
      <c r="G47" s="12"/>
      <c r="H47" s="12"/>
      <c r="I47" s="12"/>
      <c r="J47" s="12"/>
      <c r="K47" s="12"/>
      <c r="L47" s="12"/>
      <c r="M47" s="12"/>
      <c r="N47" s="12"/>
      <c r="O47" s="12"/>
      <c r="P47" s="5"/>
      <c r="Q47" s="5"/>
      <c r="R47" s="5"/>
    </row>
    <row r="48" customFormat="false" ht="15" hidden="false" customHeight="false" outlineLevel="0" collapsed="false">
      <c r="A48" s="12"/>
      <c r="B48" s="12"/>
      <c r="C48" s="12"/>
      <c r="D48" s="12"/>
      <c r="E48" s="12"/>
      <c r="F48" s="12"/>
      <c r="G48" s="12"/>
      <c r="H48" s="12"/>
      <c r="I48" s="12"/>
      <c r="J48" s="12"/>
      <c r="K48" s="12"/>
      <c r="L48" s="12"/>
      <c r="M48" s="12"/>
      <c r="N48" s="12"/>
      <c r="O48" s="12"/>
      <c r="P48" s="5"/>
      <c r="Q48" s="5"/>
      <c r="R48" s="5"/>
    </row>
    <row r="49" customFormat="false" ht="15" hidden="false" customHeight="false" outlineLevel="0" collapsed="false">
      <c r="A49" s="12"/>
      <c r="B49" s="12"/>
      <c r="C49" s="12"/>
      <c r="D49" s="12"/>
      <c r="E49" s="12"/>
      <c r="F49" s="12"/>
      <c r="G49" s="12"/>
      <c r="H49" s="12"/>
      <c r="I49" s="12"/>
      <c r="J49" s="12"/>
      <c r="K49" s="12"/>
      <c r="L49" s="12"/>
      <c r="M49" s="12"/>
      <c r="N49" s="12"/>
      <c r="O49" s="12"/>
      <c r="P49" s="5"/>
      <c r="Q49" s="5"/>
      <c r="R49" s="5"/>
    </row>
    <row r="50" customFormat="false" ht="15" hidden="false" customHeight="false" outlineLevel="0" collapsed="false">
      <c r="A50" s="12"/>
      <c r="B50" s="12"/>
      <c r="C50" s="12"/>
      <c r="D50" s="12"/>
      <c r="E50" s="12"/>
      <c r="F50" s="12"/>
      <c r="G50" s="12"/>
      <c r="H50" s="12"/>
      <c r="I50" s="12"/>
      <c r="J50" s="12"/>
      <c r="K50" s="12"/>
      <c r="L50" s="12"/>
      <c r="M50" s="12"/>
      <c r="N50" s="12"/>
      <c r="O50" s="12"/>
      <c r="P50" s="5"/>
      <c r="Q50" s="5"/>
      <c r="R50" s="5"/>
    </row>
    <row r="51" customFormat="false" ht="15" hidden="false" customHeight="false" outlineLevel="0" collapsed="false">
      <c r="A51" s="12"/>
      <c r="B51" s="12"/>
      <c r="C51" s="12"/>
      <c r="D51" s="12"/>
      <c r="E51" s="12"/>
      <c r="F51" s="12"/>
      <c r="G51" s="12"/>
      <c r="H51" s="12"/>
      <c r="I51" s="12"/>
      <c r="J51" s="12"/>
      <c r="K51" s="12"/>
      <c r="L51" s="12"/>
      <c r="M51" s="12"/>
      <c r="N51" s="12"/>
      <c r="O51" s="12"/>
      <c r="P51" s="5"/>
      <c r="Q51" s="5"/>
      <c r="R51" s="5"/>
    </row>
    <row r="52" customFormat="false" ht="15" hidden="false" customHeight="false" outlineLevel="0" collapsed="false">
      <c r="A52" s="12"/>
      <c r="B52" s="12"/>
      <c r="C52" s="12"/>
      <c r="D52" s="12"/>
      <c r="E52" s="12"/>
      <c r="F52" s="12"/>
      <c r="G52" s="12"/>
      <c r="H52" s="12"/>
      <c r="I52" s="12"/>
      <c r="J52" s="12"/>
      <c r="K52" s="12"/>
      <c r="L52" s="12"/>
      <c r="M52" s="12"/>
      <c r="N52" s="12"/>
      <c r="O52" s="12"/>
      <c r="P52" s="5"/>
      <c r="Q52" s="5"/>
      <c r="R52" s="5"/>
    </row>
    <row r="53" customFormat="false" ht="15" hidden="false" customHeight="false" outlineLevel="0" collapsed="false">
      <c r="A53" s="12"/>
      <c r="B53" s="12"/>
      <c r="C53" s="12"/>
      <c r="D53" s="12"/>
      <c r="E53" s="12"/>
      <c r="F53" s="12"/>
      <c r="G53" s="12"/>
      <c r="H53" s="12"/>
      <c r="I53" s="12"/>
      <c r="J53" s="12"/>
      <c r="K53" s="12"/>
      <c r="L53" s="12"/>
      <c r="M53" s="12"/>
      <c r="N53" s="12"/>
      <c r="O53" s="12"/>
      <c r="P53" s="5"/>
      <c r="Q53" s="5"/>
      <c r="R53" s="5"/>
    </row>
    <row r="54" customFormat="false" ht="15" hidden="false" customHeight="false" outlineLevel="0" collapsed="false">
      <c r="A54" s="12"/>
      <c r="B54" s="12"/>
      <c r="C54" s="12"/>
      <c r="D54" s="12"/>
      <c r="E54" s="12"/>
      <c r="F54" s="12"/>
      <c r="G54" s="12"/>
      <c r="H54" s="12"/>
      <c r="I54" s="12"/>
      <c r="J54" s="12"/>
      <c r="K54" s="12"/>
      <c r="L54" s="12"/>
      <c r="M54" s="12"/>
      <c r="N54" s="12"/>
      <c r="O54" s="12"/>
      <c r="P54" s="5"/>
      <c r="Q54" s="5"/>
      <c r="R54" s="5"/>
    </row>
    <row r="55" customFormat="false" ht="15" hidden="false" customHeight="false" outlineLevel="0" collapsed="false">
      <c r="A55" s="12"/>
      <c r="B55" s="12"/>
      <c r="C55" s="12"/>
      <c r="D55" s="12"/>
      <c r="E55" s="12"/>
      <c r="F55" s="12"/>
      <c r="G55" s="12"/>
      <c r="H55" s="12"/>
      <c r="I55" s="12"/>
      <c r="J55" s="12"/>
      <c r="K55" s="12"/>
      <c r="L55" s="12"/>
      <c r="M55" s="12"/>
      <c r="N55" s="12"/>
      <c r="O55" s="12"/>
      <c r="P55" s="5"/>
      <c r="Q55" s="5"/>
      <c r="R55" s="5"/>
    </row>
    <row r="56" customFormat="false" ht="15" hidden="false" customHeight="false" outlineLevel="0" collapsed="false">
      <c r="A56" s="12"/>
      <c r="B56" s="12"/>
      <c r="C56" s="12"/>
      <c r="D56" s="12"/>
      <c r="E56" s="12"/>
      <c r="F56" s="12"/>
      <c r="G56" s="12"/>
      <c r="H56" s="12"/>
      <c r="I56" s="12"/>
      <c r="J56" s="12"/>
      <c r="K56" s="12"/>
      <c r="L56" s="12"/>
      <c r="M56" s="12"/>
      <c r="N56" s="12"/>
      <c r="O56" s="12"/>
      <c r="P56" s="5"/>
      <c r="Q56" s="5"/>
      <c r="R56" s="5"/>
    </row>
    <row r="57" customFormat="false" ht="15" hidden="false" customHeight="false" outlineLevel="0" collapsed="false">
      <c r="A57" s="12"/>
      <c r="B57" s="12"/>
      <c r="C57" s="12"/>
      <c r="D57" s="12"/>
      <c r="E57" s="12"/>
      <c r="F57" s="12"/>
      <c r="G57" s="12"/>
      <c r="H57" s="12"/>
      <c r="I57" s="12"/>
      <c r="J57" s="12"/>
      <c r="K57" s="12"/>
      <c r="L57" s="12"/>
      <c r="M57" s="12"/>
      <c r="N57" s="12"/>
      <c r="O57" s="12"/>
      <c r="P57" s="5"/>
      <c r="Q57" s="5"/>
      <c r="R57" s="5"/>
    </row>
    <row r="58" customFormat="false" ht="15" hidden="false" customHeight="false" outlineLevel="0" collapsed="false">
      <c r="A58" s="12"/>
      <c r="B58" s="12"/>
      <c r="C58" s="12"/>
      <c r="D58" s="12"/>
      <c r="E58" s="12"/>
      <c r="F58" s="12"/>
      <c r="G58" s="12"/>
      <c r="H58" s="12"/>
      <c r="I58" s="12"/>
      <c r="J58" s="12"/>
      <c r="K58" s="12"/>
      <c r="L58" s="12"/>
      <c r="M58" s="12"/>
      <c r="N58" s="12"/>
      <c r="O58" s="12"/>
      <c r="P58" s="5"/>
      <c r="Q58" s="5"/>
      <c r="R58" s="5"/>
    </row>
    <row r="59" customFormat="false" ht="15" hidden="false" customHeight="false" outlineLevel="0" collapsed="false">
      <c r="A59" s="12"/>
      <c r="B59" s="12"/>
      <c r="C59" s="12"/>
      <c r="D59" s="12"/>
      <c r="E59" s="12"/>
      <c r="F59" s="12"/>
      <c r="G59" s="12"/>
      <c r="H59" s="12"/>
      <c r="I59" s="12"/>
      <c r="J59" s="12"/>
      <c r="K59" s="12"/>
      <c r="L59" s="12"/>
      <c r="M59" s="12"/>
      <c r="N59" s="12"/>
      <c r="O59" s="12"/>
      <c r="P59" s="5"/>
      <c r="Q59" s="5"/>
      <c r="R59" s="5"/>
    </row>
    <row r="60" customFormat="false" ht="15" hidden="false" customHeight="false" outlineLevel="0" collapsed="false">
      <c r="A60" s="12"/>
      <c r="B60" s="12"/>
      <c r="C60" s="12"/>
      <c r="D60" s="12"/>
      <c r="E60" s="12"/>
      <c r="F60" s="12"/>
      <c r="G60" s="12"/>
      <c r="H60" s="12"/>
      <c r="I60" s="12"/>
      <c r="J60" s="12"/>
      <c r="K60" s="12"/>
      <c r="L60" s="12"/>
      <c r="M60" s="12"/>
      <c r="N60" s="12"/>
      <c r="O60" s="12"/>
      <c r="P60" s="5"/>
      <c r="Q60" s="5"/>
      <c r="R60" s="5"/>
    </row>
  </sheetData>
  <autoFilter ref="A1:O60"/>
  <dataValidations count="4">
    <dataValidation allowBlank="true" error="Pick a value from the list" errorStyle="stop" errorTitle="Invalid value" operator="between" showDropDown="false" showErrorMessage="false" showInputMessage="false" sqref="B3:B60" type="list">
      <formula1>"Hub page,Product page,Technical page,Case study,Application page,Blog post,Booth price guide,Dealer/showroom,FAQ,Listing"</formula1>
      <formula2>0</formula2>
    </dataValidation>
    <dataValidation allowBlank="true" error="Pick a value from the list" errorStyle="stop" errorTitle="Invalid value" operator="between" showDropDown="false" showErrorMessage="false" showInputMessage="false" sqref="D3:D60" type="list">
      <formula1>"rPET,rWood,Booths,Textile (Interior/Solid/Divide),General"</formula1>
      <formula2>0</formula2>
    </dataValidation>
    <dataValidation allowBlank="true" error="Pick a value from the list" errorStyle="stop" errorTitle="Invalid value" operator="between" showDropDown="false" showErrorMessage="false" showInputMessage="false" sqref="K3:K60" type="list">
      <formula1>"Backlog,Briefed,Drafting,Review,Translation,Ready for dev,Live,On hold"</formula1>
      <formula2>0</formula2>
    </dataValidation>
    <dataValidation allowBlank="true" error="Pick a value from the list" errorStyle="stop" errorTitle="Invalid value" operator="between" showDropDown="false" showErrorMessage="false" showInputMessage="false" sqref="H3:H60" type="list">
      <formula1>"P0,P1,P2"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36"/>
    <col collapsed="false" customWidth="true" hidden="false" outlineLevel="0" max="2" min="2" style="0" width="9"/>
    <col collapsed="false" customWidth="true" hidden="false" outlineLevel="0" max="3" min="3" style="0" width="10"/>
    <col collapsed="false" customWidth="true" hidden="false" outlineLevel="0" max="4" min="4" style="0" width="13"/>
    <col collapsed="false" customWidth="true" hidden="false" outlineLevel="0" max="5" min="5" style="0" width="10"/>
    <col collapsed="false" customWidth="true" hidden="false" outlineLevel="0" max="6" min="6" style="0" width="26"/>
    <col collapsed="false" customWidth="true" hidden="false" outlineLevel="0" max="7" min="7" style="0" width="40"/>
    <col collapsed="false" customWidth="true" hidden="false" outlineLevel="0" max="8" min="8" style="0" width="8"/>
    <col collapsed="false" customWidth="true" hidden="false" outlineLevel="0" max="9" min="9" style="0" width="16"/>
    <col collapsed="false" customWidth="true" hidden="false" outlineLevel="0" max="10" min="10" style="0" width="46"/>
    <col collapsed="false" customWidth="true" hidden="false" outlineLevel="0" max="12" min="11" style="0" width="14"/>
    <col collapsed="false" customWidth="true" hidden="false" outlineLevel="0" max="13" min="13" style="0" width="30"/>
    <col collapsed="false" customWidth="true" hidden="false" outlineLevel="0" max="15" min="15" style="0" width="20"/>
  </cols>
  <sheetData>
    <row r="1" customFormat="false" ht="31.5" hidden="false" customHeight="true" outlineLevel="0" collapsed="false">
      <c r="A1" s="4" t="s">
        <v>167</v>
      </c>
      <c r="B1" s="4" t="s">
        <v>168</v>
      </c>
      <c r="C1" s="4" t="s">
        <v>169</v>
      </c>
      <c r="D1" s="4" t="s">
        <v>170</v>
      </c>
      <c r="E1" s="4" t="s">
        <v>20</v>
      </c>
      <c r="F1" s="4" t="s">
        <v>171</v>
      </c>
      <c r="G1" s="4" t="s">
        <v>172</v>
      </c>
      <c r="H1" s="4" t="s">
        <v>25</v>
      </c>
      <c r="I1" s="4" t="s">
        <v>173</v>
      </c>
      <c r="J1" s="4" t="s">
        <v>174</v>
      </c>
      <c r="K1" s="4" t="s">
        <v>175</v>
      </c>
      <c r="L1" s="4" t="s">
        <v>176</v>
      </c>
      <c r="M1" s="4" t="s">
        <v>31</v>
      </c>
      <c r="N1" s="5"/>
      <c r="O1" s="6" t="s">
        <v>177</v>
      </c>
      <c r="P1" s="9" t="n">
        <f aca="false">COUNTA(A4:A103)</f>
        <v>40</v>
      </c>
    </row>
    <row r="2" customFormat="false" ht="63.75" hidden="false" customHeight="true" outlineLevel="0" collapsed="false">
      <c r="A2" s="7" t="s">
        <v>178</v>
      </c>
      <c r="B2" s="7" t="s">
        <v>179</v>
      </c>
      <c r="C2" s="7" t="s">
        <v>180</v>
      </c>
      <c r="D2" s="7" t="s">
        <v>181</v>
      </c>
      <c r="E2" s="7" t="s">
        <v>182</v>
      </c>
      <c r="F2" s="7" t="s">
        <v>183</v>
      </c>
      <c r="G2" s="7" t="s">
        <v>184</v>
      </c>
      <c r="H2" s="7" t="s">
        <v>185</v>
      </c>
      <c r="I2" s="7" t="s">
        <v>186</v>
      </c>
      <c r="J2" s="7" t="s">
        <v>187</v>
      </c>
      <c r="K2" s="7" t="s">
        <v>188</v>
      </c>
      <c r="L2" s="7" t="s">
        <v>188</v>
      </c>
      <c r="M2" s="7" t="s">
        <v>189</v>
      </c>
      <c r="N2" s="5"/>
      <c r="O2" s="8" t="s">
        <v>190</v>
      </c>
      <c r="P2" s="9" t="n">
        <f aca="false">COUNTIF(I4:I103,"—")</f>
        <v>27</v>
      </c>
    </row>
    <row r="3" customFormat="false" ht="48" hidden="false" customHeight="true" outlineLevel="0" collapsed="false">
      <c r="A3" s="10" t="s">
        <v>191</v>
      </c>
      <c r="B3" s="10" t="s">
        <v>192</v>
      </c>
      <c r="C3" s="10" t="s">
        <v>193</v>
      </c>
      <c r="D3" s="10" t="s">
        <v>194</v>
      </c>
      <c r="E3" s="10" t="s">
        <v>76</v>
      </c>
      <c r="F3" s="10" t="s">
        <v>129</v>
      </c>
      <c r="G3" s="10" t="s">
        <v>195</v>
      </c>
      <c r="H3" s="10" t="n">
        <v>2</v>
      </c>
      <c r="I3" s="10" t="s">
        <v>78</v>
      </c>
      <c r="J3" s="10" t="s">
        <v>196</v>
      </c>
      <c r="K3" s="10" t="n">
        <v>320</v>
      </c>
      <c r="L3" s="10"/>
      <c r="M3" s="10" t="s">
        <v>197</v>
      </c>
      <c r="N3" s="5"/>
      <c r="O3" s="8" t="s">
        <v>198</v>
      </c>
      <c r="P3" s="9" t="n">
        <f aca="false">COUNTIF(I4:I103,"not measured")</f>
        <v>13</v>
      </c>
    </row>
    <row r="4" customFormat="false" ht="15" hidden="false" customHeight="false" outlineLevel="0" collapsed="false">
      <c r="A4" s="11" t="s">
        <v>52</v>
      </c>
      <c r="B4" s="11" t="s">
        <v>192</v>
      </c>
      <c r="C4" s="11" t="s">
        <v>193</v>
      </c>
      <c r="D4" s="11" t="s">
        <v>199</v>
      </c>
      <c r="E4" s="11" t="s">
        <v>50</v>
      </c>
      <c r="F4" s="11" t="s">
        <v>48</v>
      </c>
      <c r="G4" s="11" t="s">
        <v>53</v>
      </c>
      <c r="H4" s="11" t="n">
        <v>1</v>
      </c>
      <c r="I4" s="11" t="s">
        <v>78</v>
      </c>
      <c r="J4" s="11" t="s">
        <v>200</v>
      </c>
      <c r="K4" s="12"/>
      <c r="L4" s="12"/>
      <c r="M4" s="12"/>
      <c r="N4" s="5"/>
      <c r="O4" s="5"/>
      <c r="P4" s="5"/>
    </row>
    <row r="5" customFormat="false" ht="15" hidden="false" customHeight="false" outlineLevel="0" collapsed="false">
      <c r="A5" s="11" t="s">
        <v>201</v>
      </c>
      <c r="B5" s="11" t="s">
        <v>192</v>
      </c>
      <c r="C5" s="11" t="s">
        <v>193</v>
      </c>
      <c r="D5" s="11" t="s">
        <v>199</v>
      </c>
      <c r="E5" s="11" t="s">
        <v>50</v>
      </c>
      <c r="F5" s="11" t="s">
        <v>48</v>
      </c>
      <c r="G5" s="11" t="s">
        <v>53</v>
      </c>
      <c r="H5" s="11" t="n">
        <v>1</v>
      </c>
      <c r="I5" s="11" t="s">
        <v>78</v>
      </c>
      <c r="J5" s="11" t="s">
        <v>200</v>
      </c>
      <c r="K5" s="12"/>
      <c r="L5" s="12"/>
      <c r="M5" s="12"/>
      <c r="N5" s="5"/>
      <c r="O5" s="5"/>
      <c r="P5" s="5"/>
    </row>
    <row r="6" customFormat="false" ht="15" hidden="false" customHeight="false" outlineLevel="0" collapsed="false">
      <c r="A6" s="11" t="s">
        <v>202</v>
      </c>
      <c r="B6" s="11" t="s">
        <v>192</v>
      </c>
      <c r="C6" s="11" t="s">
        <v>193</v>
      </c>
      <c r="D6" s="11" t="s">
        <v>199</v>
      </c>
      <c r="E6" s="11" t="s">
        <v>50</v>
      </c>
      <c r="F6" s="11" t="s">
        <v>48</v>
      </c>
      <c r="G6" s="11" t="s">
        <v>53</v>
      </c>
      <c r="H6" s="11" t="n">
        <v>2</v>
      </c>
      <c r="I6" s="11" t="s">
        <v>78</v>
      </c>
      <c r="J6" s="11" t="s">
        <v>203</v>
      </c>
      <c r="K6" s="12"/>
      <c r="L6" s="12"/>
      <c r="M6" s="12"/>
      <c r="N6" s="5"/>
      <c r="O6" s="5"/>
      <c r="P6" s="5"/>
    </row>
    <row r="7" customFormat="false" ht="15" hidden="false" customHeight="false" outlineLevel="0" collapsed="false">
      <c r="A7" s="11" t="s">
        <v>64</v>
      </c>
      <c r="B7" s="11" t="s">
        <v>192</v>
      </c>
      <c r="C7" s="11" t="s">
        <v>193</v>
      </c>
      <c r="D7" s="11" t="s">
        <v>199</v>
      </c>
      <c r="E7" s="11" t="s">
        <v>63</v>
      </c>
      <c r="F7" s="11" t="s">
        <v>48</v>
      </c>
      <c r="G7" s="11" t="s">
        <v>65</v>
      </c>
      <c r="H7" s="11" t="n">
        <v>2</v>
      </c>
      <c r="I7" s="11" t="s">
        <v>78</v>
      </c>
      <c r="J7" s="11" t="s">
        <v>204</v>
      </c>
      <c r="K7" s="12"/>
      <c r="L7" s="12"/>
      <c r="M7" s="12"/>
      <c r="N7" s="5"/>
      <c r="O7" s="5"/>
      <c r="P7" s="5"/>
    </row>
    <row r="8" customFormat="false" ht="15" hidden="false" customHeight="false" outlineLevel="0" collapsed="false">
      <c r="A8" s="11" t="s">
        <v>205</v>
      </c>
      <c r="B8" s="11" t="s">
        <v>192</v>
      </c>
      <c r="C8" s="11" t="s">
        <v>193</v>
      </c>
      <c r="D8" s="11" t="s">
        <v>199</v>
      </c>
      <c r="E8" s="11" t="s">
        <v>63</v>
      </c>
      <c r="F8" s="11" t="s">
        <v>48</v>
      </c>
      <c r="G8" s="11" t="s">
        <v>65</v>
      </c>
      <c r="H8" s="11" t="n">
        <v>2</v>
      </c>
      <c r="I8" s="11" t="s">
        <v>78</v>
      </c>
      <c r="J8" s="11" t="s">
        <v>206</v>
      </c>
      <c r="K8" s="12"/>
      <c r="L8" s="12"/>
      <c r="M8" s="12"/>
      <c r="N8" s="5"/>
      <c r="O8" s="5"/>
      <c r="P8" s="5"/>
    </row>
    <row r="9" customFormat="false" ht="15" hidden="false" customHeight="false" outlineLevel="0" collapsed="false">
      <c r="A9" s="11" t="s">
        <v>207</v>
      </c>
      <c r="B9" s="11" t="s">
        <v>192</v>
      </c>
      <c r="C9" s="11" t="s">
        <v>193</v>
      </c>
      <c r="D9" s="11" t="s">
        <v>208</v>
      </c>
      <c r="E9" s="11" t="s">
        <v>63</v>
      </c>
      <c r="F9" s="11" t="s">
        <v>209</v>
      </c>
      <c r="G9" s="11" t="s">
        <v>210</v>
      </c>
      <c r="H9" s="11" t="n">
        <v>1</v>
      </c>
      <c r="I9" s="11" t="s">
        <v>78</v>
      </c>
      <c r="J9" s="11" t="s">
        <v>211</v>
      </c>
      <c r="K9" s="12"/>
      <c r="L9" s="12"/>
      <c r="M9" s="12"/>
      <c r="N9" s="5"/>
      <c r="O9" s="5"/>
      <c r="P9" s="5"/>
    </row>
    <row r="10" customFormat="false" ht="15" hidden="false" customHeight="false" outlineLevel="0" collapsed="false">
      <c r="A10" s="11" t="s">
        <v>212</v>
      </c>
      <c r="B10" s="11" t="s">
        <v>192</v>
      </c>
      <c r="C10" s="11" t="s">
        <v>193</v>
      </c>
      <c r="D10" s="11" t="s">
        <v>199</v>
      </c>
      <c r="E10" s="11" t="s">
        <v>63</v>
      </c>
      <c r="F10" s="11" t="s">
        <v>213</v>
      </c>
      <c r="G10" s="11" t="s">
        <v>214</v>
      </c>
      <c r="H10" s="11" t="n">
        <v>1</v>
      </c>
      <c r="I10" s="11" t="s">
        <v>78</v>
      </c>
      <c r="J10" s="11" t="s">
        <v>215</v>
      </c>
      <c r="K10" s="12"/>
      <c r="L10" s="12"/>
      <c r="M10" s="12"/>
      <c r="N10" s="5"/>
      <c r="O10" s="5"/>
      <c r="P10" s="5"/>
    </row>
    <row r="11" customFormat="false" ht="15" hidden="false" customHeight="false" outlineLevel="0" collapsed="false">
      <c r="A11" s="11" t="s">
        <v>70</v>
      </c>
      <c r="B11" s="11" t="s">
        <v>192</v>
      </c>
      <c r="C11" s="11" t="s">
        <v>193</v>
      </c>
      <c r="D11" s="11" t="s">
        <v>199</v>
      </c>
      <c r="E11" s="11" t="s">
        <v>69</v>
      </c>
      <c r="F11" s="11" t="s">
        <v>48</v>
      </c>
      <c r="G11" s="11" t="s">
        <v>71</v>
      </c>
      <c r="H11" s="11" t="n">
        <v>1</v>
      </c>
      <c r="I11" s="11" t="s">
        <v>78</v>
      </c>
      <c r="J11" s="11" t="s">
        <v>216</v>
      </c>
      <c r="K11" s="12"/>
      <c r="L11" s="12"/>
      <c r="M11" s="12"/>
      <c r="N11" s="5"/>
      <c r="O11" s="5"/>
      <c r="P11" s="5"/>
    </row>
    <row r="12" customFormat="false" ht="15" hidden="false" customHeight="false" outlineLevel="0" collapsed="false">
      <c r="A12" s="11" t="s">
        <v>217</v>
      </c>
      <c r="B12" s="11" t="s">
        <v>192</v>
      </c>
      <c r="C12" s="11" t="s">
        <v>193</v>
      </c>
      <c r="D12" s="11" t="s">
        <v>199</v>
      </c>
      <c r="E12" s="11" t="s">
        <v>69</v>
      </c>
      <c r="F12" s="11" t="s">
        <v>48</v>
      </c>
      <c r="G12" s="11" t="s">
        <v>71</v>
      </c>
      <c r="H12" s="11" t="n">
        <v>1</v>
      </c>
      <c r="I12" s="11" t="s">
        <v>78</v>
      </c>
      <c r="J12" s="11" t="s">
        <v>218</v>
      </c>
      <c r="K12" s="12"/>
      <c r="L12" s="12"/>
      <c r="M12" s="12"/>
      <c r="N12" s="5"/>
      <c r="O12" s="5"/>
      <c r="P12" s="5"/>
    </row>
    <row r="13" customFormat="false" ht="27.75" hidden="false" customHeight="true" outlineLevel="0" collapsed="false">
      <c r="A13" s="11" t="s">
        <v>219</v>
      </c>
      <c r="B13" s="11" t="s">
        <v>192</v>
      </c>
      <c r="C13" s="11" t="s">
        <v>193</v>
      </c>
      <c r="D13" s="11" t="s">
        <v>199</v>
      </c>
      <c r="E13" s="11" t="s">
        <v>69</v>
      </c>
      <c r="F13" s="11" t="s">
        <v>220</v>
      </c>
      <c r="G13" s="11" t="s">
        <v>221</v>
      </c>
      <c r="H13" s="11" t="n">
        <v>2</v>
      </c>
      <c r="I13" s="11" t="s">
        <v>78</v>
      </c>
      <c r="J13" s="11" t="s">
        <v>222</v>
      </c>
      <c r="K13" s="12"/>
      <c r="L13" s="12"/>
      <c r="M13" s="12"/>
      <c r="N13" s="5"/>
      <c r="O13" s="5"/>
      <c r="P13" s="5"/>
    </row>
    <row r="14" customFormat="false" ht="27.75" hidden="false" customHeight="true" outlineLevel="0" collapsed="false">
      <c r="A14" s="11" t="s">
        <v>223</v>
      </c>
      <c r="B14" s="11" t="s">
        <v>192</v>
      </c>
      <c r="C14" s="11" t="s">
        <v>193</v>
      </c>
      <c r="D14" s="11" t="s">
        <v>199</v>
      </c>
      <c r="E14" s="11" t="s">
        <v>69</v>
      </c>
      <c r="F14" s="11" t="s">
        <v>48</v>
      </c>
      <c r="G14" s="11" t="s">
        <v>71</v>
      </c>
      <c r="H14" s="11" t="n">
        <v>2</v>
      </c>
      <c r="I14" s="11" t="s">
        <v>78</v>
      </c>
      <c r="J14" s="11" t="s">
        <v>224</v>
      </c>
      <c r="K14" s="12"/>
      <c r="L14" s="12"/>
      <c r="M14" s="12"/>
      <c r="N14" s="5"/>
      <c r="O14" s="5"/>
      <c r="P14" s="5"/>
    </row>
    <row r="15" customFormat="false" ht="15" hidden="false" customHeight="false" outlineLevel="0" collapsed="false">
      <c r="A15" s="11" t="s">
        <v>225</v>
      </c>
      <c r="B15" s="11" t="s">
        <v>192</v>
      </c>
      <c r="C15" s="11" t="s">
        <v>193</v>
      </c>
      <c r="D15" s="11" t="s">
        <v>226</v>
      </c>
      <c r="E15" s="11" t="s">
        <v>76</v>
      </c>
      <c r="F15" s="11" t="s">
        <v>227</v>
      </c>
      <c r="G15" s="11" t="s">
        <v>228</v>
      </c>
      <c r="H15" s="11" t="n">
        <v>1</v>
      </c>
      <c r="I15" s="11" t="s">
        <v>78</v>
      </c>
      <c r="J15" s="11" t="s">
        <v>229</v>
      </c>
      <c r="K15" s="12"/>
      <c r="L15" s="12"/>
      <c r="M15" s="12"/>
      <c r="N15" s="5"/>
      <c r="O15" s="5"/>
      <c r="P15" s="5"/>
    </row>
    <row r="16" customFormat="false" ht="15" hidden="false" customHeight="false" outlineLevel="0" collapsed="false">
      <c r="A16" s="11" t="s">
        <v>230</v>
      </c>
      <c r="B16" s="11" t="s">
        <v>192</v>
      </c>
      <c r="C16" s="11" t="s">
        <v>193</v>
      </c>
      <c r="D16" s="11" t="s">
        <v>226</v>
      </c>
      <c r="E16" s="11" t="s">
        <v>76</v>
      </c>
      <c r="F16" s="11" t="s">
        <v>227</v>
      </c>
      <c r="G16" s="11" t="s">
        <v>228</v>
      </c>
      <c r="H16" s="11" t="n">
        <v>1</v>
      </c>
      <c r="I16" s="11" t="s">
        <v>78</v>
      </c>
      <c r="J16" s="11" t="s">
        <v>231</v>
      </c>
      <c r="K16" s="12"/>
      <c r="L16" s="12"/>
      <c r="M16" s="12"/>
      <c r="N16" s="5"/>
      <c r="O16" s="5"/>
      <c r="P16" s="5"/>
    </row>
    <row r="17" customFormat="false" ht="15" hidden="false" customHeight="false" outlineLevel="0" collapsed="false">
      <c r="A17" s="11" t="s">
        <v>52</v>
      </c>
      <c r="B17" s="11" t="s">
        <v>192</v>
      </c>
      <c r="C17" s="11" t="s">
        <v>192</v>
      </c>
      <c r="D17" s="11" t="s">
        <v>199</v>
      </c>
      <c r="E17" s="11" t="s">
        <v>50</v>
      </c>
      <c r="F17" s="11" t="s">
        <v>48</v>
      </c>
      <c r="G17" s="11" t="s">
        <v>53</v>
      </c>
      <c r="H17" s="11" t="n">
        <v>2</v>
      </c>
      <c r="I17" s="11" t="s">
        <v>78</v>
      </c>
      <c r="J17" s="11" t="s">
        <v>232</v>
      </c>
      <c r="K17" s="12"/>
      <c r="L17" s="12"/>
      <c r="M17" s="12"/>
      <c r="N17" s="5"/>
      <c r="O17" s="5"/>
      <c r="P17" s="5"/>
    </row>
    <row r="18" customFormat="false" ht="15" hidden="false" customHeight="false" outlineLevel="0" collapsed="false">
      <c r="A18" s="11" t="s">
        <v>64</v>
      </c>
      <c r="B18" s="11" t="s">
        <v>192</v>
      </c>
      <c r="C18" s="11" t="s">
        <v>192</v>
      </c>
      <c r="D18" s="11" t="s">
        <v>199</v>
      </c>
      <c r="E18" s="11" t="s">
        <v>63</v>
      </c>
      <c r="F18" s="11" t="s">
        <v>48</v>
      </c>
      <c r="G18" s="11" t="s">
        <v>65</v>
      </c>
      <c r="H18" s="11" t="n">
        <v>3</v>
      </c>
      <c r="I18" s="11" t="s">
        <v>78</v>
      </c>
      <c r="J18" s="11" t="s">
        <v>233</v>
      </c>
      <c r="K18" s="12"/>
      <c r="L18" s="12"/>
      <c r="M18" s="12"/>
      <c r="N18" s="5"/>
      <c r="O18" s="5"/>
      <c r="P18" s="5"/>
    </row>
    <row r="19" customFormat="false" ht="15" hidden="false" customHeight="false" outlineLevel="0" collapsed="false">
      <c r="A19" s="11" t="s">
        <v>207</v>
      </c>
      <c r="B19" s="11" t="s">
        <v>192</v>
      </c>
      <c r="C19" s="11" t="s">
        <v>192</v>
      </c>
      <c r="D19" s="11" t="s">
        <v>208</v>
      </c>
      <c r="E19" s="11" t="s">
        <v>63</v>
      </c>
      <c r="F19" s="11" t="s">
        <v>209</v>
      </c>
      <c r="G19" s="11" t="s">
        <v>210</v>
      </c>
      <c r="H19" s="11" t="n">
        <v>1</v>
      </c>
      <c r="I19" s="11" t="s">
        <v>78</v>
      </c>
      <c r="J19" s="11" t="s">
        <v>234</v>
      </c>
      <c r="K19" s="12"/>
      <c r="L19" s="12"/>
      <c r="M19" s="12"/>
      <c r="N19" s="5"/>
      <c r="O19" s="5"/>
      <c r="P19" s="5"/>
    </row>
    <row r="20" customFormat="false" ht="23.85" hidden="false" customHeight="false" outlineLevel="0" collapsed="false">
      <c r="A20" s="11" t="s">
        <v>235</v>
      </c>
      <c r="B20" s="11" t="s">
        <v>192</v>
      </c>
      <c r="C20" s="11" t="s">
        <v>192</v>
      </c>
      <c r="D20" s="11" t="s">
        <v>199</v>
      </c>
      <c r="E20" s="11" t="s">
        <v>69</v>
      </c>
      <c r="F20" s="11" t="s">
        <v>48</v>
      </c>
      <c r="G20" s="11" t="s">
        <v>71</v>
      </c>
      <c r="H20" s="11" t="n">
        <v>2</v>
      </c>
      <c r="I20" s="11" t="s">
        <v>78</v>
      </c>
      <c r="J20" s="11" t="s">
        <v>236</v>
      </c>
      <c r="K20" s="12"/>
      <c r="L20" s="12"/>
      <c r="M20" s="12"/>
      <c r="N20" s="5"/>
      <c r="O20" s="5"/>
      <c r="P20" s="5"/>
    </row>
    <row r="21" customFormat="false" ht="27.75" hidden="false" customHeight="true" outlineLevel="0" collapsed="false">
      <c r="A21" s="11" t="s">
        <v>219</v>
      </c>
      <c r="B21" s="11" t="s">
        <v>192</v>
      </c>
      <c r="C21" s="11" t="s">
        <v>192</v>
      </c>
      <c r="D21" s="11" t="s">
        <v>199</v>
      </c>
      <c r="E21" s="11" t="s">
        <v>69</v>
      </c>
      <c r="F21" s="11" t="s">
        <v>220</v>
      </c>
      <c r="G21" s="11" t="s">
        <v>221</v>
      </c>
      <c r="H21" s="11" t="n">
        <v>2</v>
      </c>
      <c r="I21" s="11" t="s">
        <v>78</v>
      </c>
      <c r="J21" s="11" t="s">
        <v>237</v>
      </c>
      <c r="K21" s="12"/>
      <c r="L21" s="12"/>
      <c r="M21" s="12"/>
      <c r="N21" s="5"/>
      <c r="O21" s="5"/>
      <c r="P21" s="5"/>
    </row>
    <row r="22" customFormat="false" ht="15" hidden="false" customHeight="false" outlineLevel="0" collapsed="false">
      <c r="A22" s="11" t="s">
        <v>225</v>
      </c>
      <c r="B22" s="11" t="s">
        <v>192</v>
      </c>
      <c r="C22" s="11" t="s">
        <v>192</v>
      </c>
      <c r="D22" s="11" t="s">
        <v>226</v>
      </c>
      <c r="E22" s="11" t="s">
        <v>76</v>
      </c>
      <c r="F22" s="11" t="s">
        <v>227</v>
      </c>
      <c r="G22" s="11" t="s">
        <v>228</v>
      </c>
      <c r="H22" s="11" t="n">
        <v>2</v>
      </c>
      <c r="I22" s="11" t="s">
        <v>78</v>
      </c>
      <c r="J22" s="11" t="s">
        <v>238</v>
      </c>
      <c r="K22" s="12"/>
      <c r="L22" s="12"/>
      <c r="M22" s="12"/>
      <c r="N22" s="5"/>
      <c r="O22" s="5"/>
      <c r="P22" s="5"/>
    </row>
    <row r="23" customFormat="false" ht="15" hidden="false" customHeight="false" outlineLevel="0" collapsed="false">
      <c r="A23" s="11" t="s">
        <v>239</v>
      </c>
      <c r="B23" s="11" t="s">
        <v>240</v>
      </c>
      <c r="C23" s="11" t="s">
        <v>193</v>
      </c>
      <c r="D23" s="11" t="s">
        <v>199</v>
      </c>
      <c r="E23" s="11" t="s">
        <v>50</v>
      </c>
      <c r="F23" s="11" t="s">
        <v>48</v>
      </c>
      <c r="G23" s="11" t="s">
        <v>241</v>
      </c>
      <c r="H23" s="11" t="n">
        <v>1</v>
      </c>
      <c r="I23" s="11" t="s">
        <v>78</v>
      </c>
      <c r="J23" s="11" t="s">
        <v>242</v>
      </c>
      <c r="K23" s="12"/>
      <c r="L23" s="12"/>
      <c r="M23" s="12"/>
      <c r="N23" s="5"/>
      <c r="O23" s="5"/>
      <c r="P23" s="5"/>
    </row>
    <row r="24" customFormat="false" ht="15" hidden="false" customHeight="false" outlineLevel="0" collapsed="false">
      <c r="A24" s="11" t="s">
        <v>243</v>
      </c>
      <c r="B24" s="11" t="s">
        <v>240</v>
      </c>
      <c r="C24" s="11" t="s">
        <v>193</v>
      </c>
      <c r="D24" s="11" t="s">
        <v>199</v>
      </c>
      <c r="E24" s="11" t="s">
        <v>63</v>
      </c>
      <c r="F24" s="11" t="s">
        <v>48</v>
      </c>
      <c r="G24" s="11" t="s">
        <v>244</v>
      </c>
      <c r="H24" s="11" t="n">
        <v>2</v>
      </c>
      <c r="I24" s="11" t="s">
        <v>78</v>
      </c>
      <c r="J24" s="11" t="s">
        <v>245</v>
      </c>
      <c r="K24" s="12"/>
      <c r="L24" s="12"/>
      <c r="M24" s="12"/>
      <c r="N24" s="5"/>
      <c r="O24" s="5"/>
      <c r="P24" s="5"/>
    </row>
    <row r="25" customFormat="false" ht="15" hidden="false" customHeight="false" outlineLevel="0" collapsed="false">
      <c r="A25" s="11" t="s">
        <v>246</v>
      </c>
      <c r="B25" s="11" t="s">
        <v>240</v>
      </c>
      <c r="C25" s="11" t="s">
        <v>193</v>
      </c>
      <c r="D25" s="11" t="s">
        <v>208</v>
      </c>
      <c r="E25" s="11" t="s">
        <v>63</v>
      </c>
      <c r="F25" s="11" t="s">
        <v>209</v>
      </c>
      <c r="G25" s="11" t="s">
        <v>247</v>
      </c>
      <c r="H25" s="11" t="n">
        <v>1</v>
      </c>
      <c r="I25" s="11" t="s">
        <v>78</v>
      </c>
      <c r="J25" s="11" t="s">
        <v>248</v>
      </c>
      <c r="K25" s="12"/>
      <c r="L25" s="12"/>
      <c r="M25" s="12"/>
      <c r="N25" s="5"/>
      <c r="O25" s="5"/>
      <c r="P25" s="5"/>
    </row>
    <row r="26" customFormat="false" ht="15" hidden="false" customHeight="false" outlineLevel="0" collapsed="false">
      <c r="A26" s="11" t="s">
        <v>249</v>
      </c>
      <c r="B26" s="11" t="s">
        <v>240</v>
      </c>
      <c r="C26" s="11" t="s">
        <v>193</v>
      </c>
      <c r="D26" s="11" t="s">
        <v>199</v>
      </c>
      <c r="E26" s="11" t="s">
        <v>63</v>
      </c>
      <c r="F26" s="11" t="s">
        <v>213</v>
      </c>
      <c r="G26" s="11" t="s">
        <v>250</v>
      </c>
      <c r="H26" s="11" t="n">
        <v>1</v>
      </c>
      <c r="I26" s="11" t="s">
        <v>78</v>
      </c>
      <c r="J26" s="11" t="s">
        <v>251</v>
      </c>
      <c r="K26" s="12"/>
      <c r="L26" s="12"/>
      <c r="M26" s="12"/>
      <c r="N26" s="5"/>
      <c r="O26" s="5"/>
      <c r="P26" s="5"/>
    </row>
    <row r="27" customFormat="false" ht="15" hidden="false" customHeight="false" outlineLevel="0" collapsed="false">
      <c r="A27" s="11" t="s">
        <v>252</v>
      </c>
      <c r="B27" s="11" t="s">
        <v>240</v>
      </c>
      <c r="C27" s="11" t="s">
        <v>193</v>
      </c>
      <c r="D27" s="11" t="s">
        <v>199</v>
      </c>
      <c r="E27" s="11" t="s">
        <v>69</v>
      </c>
      <c r="F27" s="11" t="s">
        <v>48</v>
      </c>
      <c r="G27" s="11" t="s">
        <v>253</v>
      </c>
      <c r="H27" s="11" t="n">
        <v>1</v>
      </c>
      <c r="I27" s="11" t="s">
        <v>78</v>
      </c>
      <c r="J27" s="11" t="s">
        <v>254</v>
      </c>
      <c r="K27" s="12"/>
      <c r="L27" s="12"/>
      <c r="M27" s="12"/>
      <c r="N27" s="5"/>
      <c r="O27" s="5"/>
      <c r="P27" s="5"/>
    </row>
    <row r="28" customFormat="false" ht="15" hidden="false" customHeight="false" outlineLevel="0" collapsed="false">
      <c r="A28" s="11" t="s">
        <v>255</v>
      </c>
      <c r="B28" s="11" t="s">
        <v>240</v>
      </c>
      <c r="C28" s="11" t="s">
        <v>193</v>
      </c>
      <c r="D28" s="11" t="s">
        <v>199</v>
      </c>
      <c r="E28" s="11" t="s">
        <v>69</v>
      </c>
      <c r="F28" s="11" t="s">
        <v>48</v>
      </c>
      <c r="G28" s="11" t="s">
        <v>253</v>
      </c>
      <c r="H28" s="11" t="n">
        <v>1</v>
      </c>
      <c r="I28" s="11" t="s">
        <v>78</v>
      </c>
      <c r="J28" s="11" t="s">
        <v>256</v>
      </c>
      <c r="K28" s="12"/>
      <c r="L28" s="12"/>
      <c r="M28" s="12"/>
      <c r="N28" s="5"/>
      <c r="O28" s="5"/>
      <c r="P28" s="5"/>
    </row>
    <row r="29" customFormat="false" ht="15" hidden="false" customHeight="false" outlineLevel="0" collapsed="false">
      <c r="A29" s="11" t="s">
        <v>257</v>
      </c>
      <c r="B29" s="11" t="s">
        <v>240</v>
      </c>
      <c r="C29" s="11" t="s">
        <v>193</v>
      </c>
      <c r="D29" s="11" t="s">
        <v>208</v>
      </c>
      <c r="E29" s="11" t="s">
        <v>69</v>
      </c>
      <c r="F29" s="11" t="s">
        <v>103</v>
      </c>
      <c r="G29" s="11" t="s">
        <v>258</v>
      </c>
      <c r="H29" s="11" t="n">
        <v>2</v>
      </c>
      <c r="I29" s="11" t="s">
        <v>78</v>
      </c>
      <c r="J29" s="11" t="s">
        <v>259</v>
      </c>
      <c r="K29" s="12"/>
      <c r="L29" s="12"/>
      <c r="M29" s="12"/>
      <c r="N29" s="5"/>
      <c r="O29" s="5"/>
      <c r="P29" s="5"/>
    </row>
    <row r="30" customFormat="false" ht="15" hidden="false" customHeight="false" outlineLevel="0" collapsed="false">
      <c r="A30" s="11" t="s">
        <v>260</v>
      </c>
      <c r="B30" s="11" t="s">
        <v>240</v>
      </c>
      <c r="C30" s="11" t="s">
        <v>193</v>
      </c>
      <c r="D30" s="11" t="s">
        <v>226</v>
      </c>
      <c r="E30" s="11" t="s">
        <v>76</v>
      </c>
      <c r="F30" s="11" t="s">
        <v>227</v>
      </c>
      <c r="G30" s="11" t="s">
        <v>261</v>
      </c>
      <c r="H30" s="11" t="n">
        <v>1</v>
      </c>
      <c r="I30" s="11" t="s">
        <v>78</v>
      </c>
      <c r="J30" s="11" t="s">
        <v>262</v>
      </c>
      <c r="K30" s="12"/>
      <c r="L30" s="12"/>
      <c r="M30" s="12"/>
      <c r="N30" s="5"/>
      <c r="O30" s="5"/>
      <c r="P30" s="5"/>
    </row>
    <row r="31" customFormat="false" ht="15" hidden="false" customHeight="false" outlineLevel="0" collapsed="false">
      <c r="A31" s="11" t="s">
        <v>263</v>
      </c>
      <c r="B31" s="11" t="s">
        <v>77</v>
      </c>
      <c r="C31" s="11" t="s">
        <v>264</v>
      </c>
      <c r="D31" s="11" t="s">
        <v>199</v>
      </c>
      <c r="E31" s="11" t="s">
        <v>50</v>
      </c>
      <c r="F31" s="11" t="s">
        <v>48</v>
      </c>
      <c r="G31" s="11" t="s">
        <v>265</v>
      </c>
      <c r="H31" s="11" t="n">
        <v>2</v>
      </c>
      <c r="I31" s="11" t="s">
        <v>266</v>
      </c>
      <c r="J31" s="11" t="s">
        <v>267</v>
      </c>
      <c r="K31" s="12"/>
      <c r="L31" s="12"/>
      <c r="M31" s="12"/>
      <c r="N31" s="5"/>
      <c r="O31" s="5"/>
      <c r="P31" s="5"/>
    </row>
    <row r="32" customFormat="false" ht="15" hidden="false" customHeight="false" outlineLevel="0" collapsed="false">
      <c r="A32" s="11" t="s">
        <v>268</v>
      </c>
      <c r="B32" s="11" t="s">
        <v>77</v>
      </c>
      <c r="C32" s="11" t="s">
        <v>264</v>
      </c>
      <c r="D32" s="11" t="s">
        <v>199</v>
      </c>
      <c r="E32" s="11" t="s">
        <v>63</v>
      </c>
      <c r="F32" s="11" t="s">
        <v>48</v>
      </c>
      <c r="G32" s="11" t="s">
        <v>269</v>
      </c>
      <c r="H32" s="11" t="n">
        <v>2</v>
      </c>
      <c r="I32" s="11" t="s">
        <v>266</v>
      </c>
      <c r="J32" s="12"/>
      <c r="K32" s="12"/>
      <c r="L32" s="12"/>
      <c r="M32" s="12"/>
      <c r="N32" s="5"/>
      <c r="O32" s="5"/>
      <c r="P32" s="5"/>
    </row>
    <row r="33" customFormat="false" ht="15" hidden="false" customHeight="false" outlineLevel="0" collapsed="false">
      <c r="A33" s="11" t="s">
        <v>270</v>
      </c>
      <c r="B33" s="11" t="s">
        <v>77</v>
      </c>
      <c r="C33" s="11" t="s">
        <v>264</v>
      </c>
      <c r="D33" s="11" t="s">
        <v>208</v>
      </c>
      <c r="E33" s="11" t="s">
        <v>63</v>
      </c>
      <c r="F33" s="11" t="s">
        <v>209</v>
      </c>
      <c r="G33" s="11" t="s">
        <v>271</v>
      </c>
      <c r="H33" s="11" t="n">
        <v>1</v>
      </c>
      <c r="I33" s="11" t="s">
        <v>266</v>
      </c>
      <c r="J33" s="12"/>
      <c r="K33" s="12"/>
      <c r="L33" s="12"/>
      <c r="M33" s="12"/>
      <c r="N33" s="5"/>
      <c r="O33" s="5"/>
      <c r="P33" s="5"/>
    </row>
    <row r="34" customFormat="false" ht="15" hidden="false" customHeight="false" outlineLevel="0" collapsed="false">
      <c r="A34" s="11" t="s">
        <v>272</v>
      </c>
      <c r="B34" s="11" t="s">
        <v>77</v>
      </c>
      <c r="C34" s="11" t="s">
        <v>264</v>
      </c>
      <c r="D34" s="11" t="s">
        <v>199</v>
      </c>
      <c r="E34" s="11" t="s">
        <v>63</v>
      </c>
      <c r="F34" s="11" t="s">
        <v>213</v>
      </c>
      <c r="G34" s="11" t="s">
        <v>273</v>
      </c>
      <c r="H34" s="11" t="n">
        <v>2</v>
      </c>
      <c r="I34" s="11" t="s">
        <v>266</v>
      </c>
      <c r="J34" s="12"/>
      <c r="K34" s="12"/>
      <c r="L34" s="12"/>
      <c r="M34" s="12"/>
      <c r="N34" s="5"/>
      <c r="O34" s="5"/>
      <c r="P34" s="5"/>
    </row>
    <row r="35" customFormat="false" ht="15" hidden="false" customHeight="false" outlineLevel="0" collapsed="false">
      <c r="A35" s="11" t="s">
        <v>274</v>
      </c>
      <c r="B35" s="11" t="s">
        <v>77</v>
      </c>
      <c r="C35" s="11" t="s">
        <v>264</v>
      </c>
      <c r="D35" s="11" t="s">
        <v>199</v>
      </c>
      <c r="E35" s="11" t="s">
        <v>69</v>
      </c>
      <c r="F35" s="11" t="s">
        <v>48</v>
      </c>
      <c r="G35" s="11" t="s">
        <v>275</v>
      </c>
      <c r="H35" s="11" t="n">
        <v>1</v>
      </c>
      <c r="I35" s="11" t="s">
        <v>266</v>
      </c>
      <c r="J35" s="12"/>
      <c r="K35" s="12"/>
      <c r="L35" s="12"/>
      <c r="M35" s="12"/>
      <c r="N35" s="5"/>
      <c r="O35" s="5"/>
      <c r="P35" s="5"/>
    </row>
    <row r="36" customFormat="false" ht="15" hidden="false" customHeight="false" outlineLevel="0" collapsed="false">
      <c r="A36" s="11" t="s">
        <v>276</v>
      </c>
      <c r="B36" s="11" t="s">
        <v>77</v>
      </c>
      <c r="C36" s="11" t="s">
        <v>264</v>
      </c>
      <c r="D36" s="11" t="s">
        <v>199</v>
      </c>
      <c r="E36" s="11" t="s">
        <v>69</v>
      </c>
      <c r="F36" s="11" t="s">
        <v>48</v>
      </c>
      <c r="G36" s="11" t="s">
        <v>275</v>
      </c>
      <c r="H36" s="11" t="n">
        <v>1</v>
      </c>
      <c r="I36" s="11" t="s">
        <v>266</v>
      </c>
      <c r="J36" s="12"/>
      <c r="K36" s="12"/>
      <c r="L36" s="12"/>
      <c r="M36" s="12"/>
      <c r="N36" s="5"/>
      <c r="O36" s="5"/>
      <c r="P36" s="5"/>
    </row>
    <row r="37" customFormat="false" ht="15" hidden="false" customHeight="false" outlineLevel="0" collapsed="false">
      <c r="A37" s="11" t="s">
        <v>277</v>
      </c>
      <c r="B37" s="11" t="s">
        <v>77</v>
      </c>
      <c r="C37" s="11" t="s">
        <v>264</v>
      </c>
      <c r="D37" s="11" t="s">
        <v>199</v>
      </c>
      <c r="E37" s="11" t="s">
        <v>69</v>
      </c>
      <c r="F37" s="11" t="s">
        <v>48</v>
      </c>
      <c r="G37" s="11" t="s">
        <v>275</v>
      </c>
      <c r="H37" s="11" t="n">
        <v>2</v>
      </c>
      <c r="I37" s="11" t="s">
        <v>266</v>
      </c>
      <c r="J37" s="12"/>
      <c r="K37" s="12"/>
      <c r="L37" s="12"/>
      <c r="M37" s="12"/>
      <c r="N37" s="5"/>
      <c r="O37" s="5"/>
      <c r="P37" s="5"/>
    </row>
    <row r="38" customFormat="false" ht="15" hidden="false" customHeight="false" outlineLevel="0" collapsed="false">
      <c r="A38" s="11" t="s">
        <v>278</v>
      </c>
      <c r="B38" s="11" t="s">
        <v>279</v>
      </c>
      <c r="C38" s="11" t="s">
        <v>279</v>
      </c>
      <c r="D38" s="11" t="s">
        <v>199</v>
      </c>
      <c r="E38" s="11" t="s">
        <v>50</v>
      </c>
      <c r="F38" s="11" t="s">
        <v>48</v>
      </c>
      <c r="G38" s="11" t="s">
        <v>280</v>
      </c>
      <c r="H38" s="11" t="n">
        <v>1</v>
      </c>
      <c r="I38" s="11" t="s">
        <v>266</v>
      </c>
      <c r="J38" s="12"/>
      <c r="K38" s="12"/>
      <c r="L38" s="12"/>
      <c r="M38" s="12"/>
      <c r="N38" s="5"/>
      <c r="O38" s="5"/>
      <c r="P38" s="5"/>
    </row>
    <row r="39" customFormat="false" ht="15" hidden="false" customHeight="false" outlineLevel="0" collapsed="false">
      <c r="A39" s="11" t="s">
        <v>281</v>
      </c>
      <c r="B39" s="11" t="s">
        <v>279</v>
      </c>
      <c r="C39" s="11" t="s">
        <v>279</v>
      </c>
      <c r="D39" s="11" t="s">
        <v>199</v>
      </c>
      <c r="E39" s="11" t="s">
        <v>63</v>
      </c>
      <c r="F39" s="11" t="s">
        <v>48</v>
      </c>
      <c r="G39" s="11" t="s">
        <v>282</v>
      </c>
      <c r="H39" s="11" t="n">
        <v>2</v>
      </c>
      <c r="I39" s="11" t="s">
        <v>266</v>
      </c>
      <c r="J39" s="12"/>
      <c r="K39" s="12"/>
      <c r="L39" s="12"/>
      <c r="M39" s="12"/>
      <c r="N39" s="5"/>
      <c r="O39" s="5"/>
      <c r="P39" s="5"/>
    </row>
    <row r="40" customFormat="false" ht="15" hidden="false" customHeight="false" outlineLevel="0" collapsed="false">
      <c r="A40" s="11" t="s">
        <v>283</v>
      </c>
      <c r="B40" s="11" t="s">
        <v>279</v>
      </c>
      <c r="C40" s="11" t="s">
        <v>279</v>
      </c>
      <c r="D40" s="11" t="s">
        <v>208</v>
      </c>
      <c r="E40" s="11" t="s">
        <v>63</v>
      </c>
      <c r="F40" s="11" t="s">
        <v>209</v>
      </c>
      <c r="G40" s="11" t="s">
        <v>284</v>
      </c>
      <c r="H40" s="11" t="n">
        <v>1</v>
      </c>
      <c r="I40" s="11" t="s">
        <v>266</v>
      </c>
      <c r="J40" s="12"/>
      <c r="K40" s="12"/>
      <c r="L40" s="12"/>
      <c r="M40" s="12"/>
      <c r="N40" s="5"/>
      <c r="O40" s="5"/>
      <c r="P40" s="5"/>
    </row>
    <row r="41" customFormat="false" ht="15" hidden="false" customHeight="false" outlineLevel="0" collapsed="false">
      <c r="A41" s="11" t="s">
        <v>285</v>
      </c>
      <c r="B41" s="11" t="s">
        <v>279</v>
      </c>
      <c r="C41" s="11" t="s">
        <v>279</v>
      </c>
      <c r="D41" s="11" t="s">
        <v>199</v>
      </c>
      <c r="E41" s="11" t="s">
        <v>69</v>
      </c>
      <c r="F41" s="11" t="s">
        <v>48</v>
      </c>
      <c r="G41" s="11" t="s">
        <v>286</v>
      </c>
      <c r="H41" s="11" t="n">
        <v>1</v>
      </c>
      <c r="I41" s="11" t="s">
        <v>266</v>
      </c>
      <c r="J41" s="12"/>
      <c r="K41" s="12"/>
      <c r="L41" s="12"/>
      <c r="M41" s="12"/>
      <c r="N41" s="5"/>
      <c r="O41" s="5"/>
      <c r="P41" s="5"/>
    </row>
    <row r="42" customFormat="false" ht="15" hidden="false" customHeight="false" outlineLevel="0" collapsed="false">
      <c r="A42" s="11" t="s">
        <v>287</v>
      </c>
      <c r="B42" s="11" t="s">
        <v>279</v>
      </c>
      <c r="C42" s="11" t="s">
        <v>279</v>
      </c>
      <c r="D42" s="11" t="s">
        <v>199</v>
      </c>
      <c r="E42" s="11" t="s">
        <v>69</v>
      </c>
      <c r="F42" s="11" t="s">
        <v>48</v>
      </c>
      <c r="G42" s="11" t="s">
        <v>286</v>
      </c>
      <c r="H42" s="11" t="n">
        <v>2</v>
      </c>
      <c r="I42" s="11" t="s">
        <v>266</v>
      </c>
      <c r="J42" s="12"/>
      <c r="K42" s="12"/>
      <c r="L42" s="12"/>
      <c r="M42" s="12"/>
      <c r="N42" s="5"/>
      <c r="O42" s="5"/>
      <c r="P42" s="5"/>
    </row>
    <row r="43" customFormat="false" ht="15" hidden="false" customHeight="false" outlineLevel="0" collapsed="false">
      <c r="A43" s="11" t="s">
        <v>288</v>
      </c>
      <c r="B43" s="11" t="s">
        <v>279</v>
      </c>
      <c r="C43" s="11" t="s">
        <v>279</v>
      </c>
      <c r="D43" s="11" t="s">
        <v>226</v>
      </c>
      <c r="E43" s="11" t="s">
        <v>76</v>
      </c>
      <c r="F43" s="11" t="s">
        <v>227</v>
      </c>
      <c r="G43" s="11" t="s">
        <v>289</v>
      </c>
      <c r="H43" s="11" t="n">
        <v>1</v>
      </c>
      <c r="I43" s="11" t="s">
        <v>266</v>
      </c>
      <c r="J43" s="12"/>
      <c r="K43" s="12"/>
      <c r="L43" s="12"/>
      <c r="M43" s="12"/>
      <c r="N43" s="5"/>
      <c r="O43" s="5"/>
      <c r="P43" s="5"/>
    </row>
    <row r="44" customFormat="false" ht="15" hidden="false" customHeight="false" outlineLevel="0" collapsed="false">
      <c r="A44" s="12"/>
      <c r="B44" s="12"/>
      <c r="C44" s="12"/>
      <c r="D44" s="12"/>
      <c r="E44" s="12"/>
      <c r="F44" s="12"/>
      <c r="G44" s="12"/>
      <c r="H44" s="12"/>
      <c r="I44" s="12"/>
      <c r="J44" s="12"/>
      <c r="K44" s="12"/>
      <c r="L44" s="12"/>
      <c r="M44" s="12"/>
      <c r="N44" s="5"/>
      <c r="O44" s="5"/>
      <c r="P44" s="5"/>
    </row>
    <row r="45" customFormat="false" ht="15" hidden="false" customHeight="false" outlineLevel="0" collapsed="false">
      <c r="A45" s="12"/>
      <c r="B45" s="12"/>
      <c r="C45" s="12"/>
      <c r="D45" s="12"/>
      <c r="E45" s="12"/>
      <c r="F45" s="12"/>
      <c r="G45" s="12"/>
      <c r="H45" s="12"/>
      <c r="I45" s="12"/>
      <c r="J45" s="12"/>
      <c r="K45" s="12"/>
      <c r="L45" s="12"/>
      <c r="M45" s="12"/>
      <c r="N45" s="5"/>
      <c r="O45" s="5"/>
      <c r="P45" s="5"/>
    </row>
    <row r="46" customFormat="false" ht="15" hidden="false" customHeight="false" outlineLevel="0" collapsed="false">
      <c r="A46" s="12"/>
      <c r="B46" s="12"/>
      <c r="C46" s="12"/>
      <c r="D46" s="12"/>
      <c r="E46" s="12"/>
      <c r="F46" s="12"/>
      <c r="G46" s="12"/>
      <c r="H46" s="12"/>
      <c r="I46" s="12"/>
      <c r="J46" s="12"/>
      <c r="K46" s="12"/>
      <c r="L46" s="12"/>
      <c r="M46" s="12"/>
      <c r="N46" s="5"/>
      <c r="O46" s="5"/>
      <c r="P46" s="5"/>
    </row>
    <row r="47" customFormat="false" ht="15" hidden="false" customHeight="false" outlineLevel="0" collapsed="false">
      <c r="A47" s="12"/>
      <c r="B47" s="12"/>
      <c r="C47" s="12"/>
      <c r="D47" s="12"/>
      <c r="E47" s="12"/>
      <c r="F47" s="12"/>
      <c r="G47" s="12"/>
      <c r="H47" s="12"/>
      <c r="I47" s="12"/>
      <c r="J47" s="12"/>
      <c r="K47" s="12"/>
      <c r="L47" s="12"/>
      <c r="M47" s="12"/>
      <c r="N47" s="5"/>
      <c r="O47" s="5"/>
      <c r="P47" s="5"/>
    </row>
    <row r="48" customFormat="false" ht="15" hidden="false" customHeight="false" outlineLevel="0" collapsed="false">
      <c r="A48" s="12"/>
      <c r="B48" s="12"/>
      <c r="C48" s="12"/>
      <c r="D48" s="12"/>
      <c r="E48" s="12"/>
      <c r="F48" s="12"/>
      <c r="G48" s="12"/>
      <c r="H48" s="12"/>
      <c r="I48" s="12"/>
      <c r="J48" s="12"/>
      <c r="K48" s="12"/>
      <c r="L48" s="12"/>
      <c r="M48" s="12"/>
      <c r="N48" s="5"/>
      <c r="O48" s="5"/>
      <c r="P48" s="5"/>
    </row>
    <row r="49" customFormat="false" ht="15" hidden="false" customHeight="false" outlineLevel="0" collapsed="false">
      <c r="A49" s="12"/>
      <c r="B49" s="12"/>
      <c r="C49" s="12"/>
      <c r="D49" s="12"/>
      <c r="E49" s="12"/>
      <c r="F49" s="12"/>
      <c r="G49" s="12"/>
      <c r="H49" s="12"/>
      <c r="I49" s="12"/>
      <c r="J49" s="12"/>
      <c r="K49" s="12"/>
      <c r="L49" s="12"/>
      <c r="M49" s="12"/>
      <c r="N49" s="5"/>
      <c r="O49" s="5"/>
      <c r="P49" s="5"/>
    </row>
    <row r="50" customFormat="false" ht="15" hidden="false" customHeight="false" outlineLevel="0" collapsed="false">
      <c r="A50" s="12"/>
      <c r="B50" s="12"/>
      <c r="C50" s="12"/>
      <c r="D50" s="12"/>
      <c r="E50" s="12"/>
      <c r="F50" s="12"/>
      <c r="G50" s="12"/>
      <c r="H50" s="12"/>
      <c r="I50" s="12"/>
      <c r="J50" s="12"/>
      <c r="K50" s="12"/>
      <c r="L50" s="12"/>
      <c r="M50" s="12"/>
      <c r="N50" s="5"/>
      <c r="O50" s="5"/>
      <c r="P50" s="5"/>
    </row>
    <row r="51" customFormat="false" ht="15" hidden="false" customHeight="false" outlineLevel="0" collapsed="false">
      <c r="A51" s="12"/>
      <c r="B51" s="12"/>
      <c r="C51" s="12"/>
      <c r="D51" s="12"/>
      <c r="E51" s="12"/>
      <c r="F51" s="12"/>
      <c r="G51" s="12"/>
      <c r="H51" s="12"/>
      <c r="I51" s="12"/>
      <c r="J51" s="12"/>
      <c r="K51" s="12"/>
      <c r="L51" s="12"/>
      <c r="M51" s="12"/>
      <c r="N51" s="5"/>
      <c r="O51" s="5"/>
      <c r="P51" s="5"/>
    </row>
    <row r="52" customFormat="false" ht="15" hidden="false" customHeight="false" outlineLevel="0" collapsed="false">
      <c r="A52" s="12"/>
      <c r="B52" s="12"/>
      <c r="C52" s="12"/>
      <c r="D52" s="12"/>
      <c r="E52" s="12"/>
      <c r="F52" s="12"/>
      <c r="G52" s="12"/>
      <c r="H52" s="12"/>
      <c r="I52" s="12"/>
      <c r="J52" s="12"/>
      <c r="K52" s="12"/>
      <c r="L52" s="12"/>
      <c r="M52" s="12"/>
      <c r="N52" s="5"/>
      <c r="O52" s="5"/>
      <c r="P52" s="5"/>
    </row>
    <row r="53" customFormat="false" ht="15" hidden="false" customHeight="false" outlineLevel="0" collapsed="false">
      <c r="A53" s="12"/>
      <c r="B53" s="12"/>
      <c r="C53" s="12"/>
      <c r="D53" s="12"/>
      <c r="E53" s="12"/>
      <c r="F53" s="12"/>
      <c r="G53" s="12"/>
      <c r="H53" s="12"/>
      <c r="I53" s="12"/>
      <c r="J53" s="12"/>
      <c r="K53" s="12"/>
      <c r="L53" s="12"/>
      <c r="M53" s="12"/>
      <c r="N53" s="5"/>
      <c r="O53" s="5"/>
      <c r="P53" s="5"/>
    </row>
    <row r="54" customFormat="false" ht="15" hidden="false" customHeight="false" outlineLevel="0" collapsed="false">
      <c r="A54" s="12"/>
      <c r="B54" s="12"/>
      <c r="C54" s="12"/>
      <c r="D54" s="12"/>
      <c r="E54" s="12"/>
      <c r="F54" s="12"/>
      <c r="G54" s="12"/>
      <c r="H54" s="12"/>
      <c r="I54" s="12"/>
      <c r="J54" s="12"/>
      <c r="K54" s="12"/>
      <c r="L54" s="12"/>
      <c r="M54" s="12"/>
      <c r="N54" s="5"/>
      <c r="O54" s="5"/>
      <c r="P54" s="5"/>
    </row>
    <row r="55" customFormat="false" ht="15" hidden="false" customHeight="false" outlineLevel="0" collapsed="false">
      <c r="A55" s="12"/>
      <c r="B55" s="12"/>
      <c r="C55" s="12"/>
      <c r="D55" s="12"/>
      <c r="E55" s="12"/>
      <c r="F55" s="12"/>
      <c r="G55" s="12"/>
      <c r="H55" s="12"/>
      <c r="I55" s="12"/>
      <c r="J55" s="12"/>
      <c r="K55" s="12"/>
      <c r="L55" s="12"/>
      <c r="M55" s="12"/>
      <c r="N55" s="5"/>
      <c r="O55" s="5"/>
      <c r="P55" s="5"/>
    </row>
    <row r="56" customFormat="false" ht="15" hidden="false" customHeight="false" outlineLevel="0" collapsed="false">
      <c r="A56" s="12"/>
      <c r="B56" s="12"/>
      <c r="C56" s="12"/>
      <c r="D56" s="12"/>
      <c r="E56" s="12"/>
      <c r="F56" s="12"/>
      <c r="G56" s="12"/>
      <c r="H56" s="12"/>
      <c r="I56" s="12"/>
      <c r="J56" s="12"/>
      <c r="K56" s="12"/>
      <c r="L56" s="12"/>
      <c r="M56" s="12"/>
      <c r="N56" s="5"/>
      <c r="O56" s="5"/>
      <c r="P56" s="5"/>
    </row>
    <row r="57" customFormat="false" ht="15" hidden="false" customHeight="false" outlineLevel="0" collapsed="false">
      <c r="A57" s="12"/>
      <c r="B57" s="12"/>
      <c r="C57" s="12"/>
      <c r="D57" s="12"/>
      <c r="E57" s="12"/>
      <c r="F57" s="12"/>
      <c r="G57" s="12"/>
      <c r="H57" s="12"/>
      <c r="I57" s="12"/>
      <c r="J57" s="12"/>
      <c r="K57" s="12"/>
      <c r="L57" s="12"/>
      <c r="M57" s="12"/>
      <c r="N57" s="5"/>
      <c r="O57" s="5"/>
      <c r="P57" s="5"/>
    </row>
    <row r="58" customFormat="false" ht="15" hidden="false" customHeight="false" outlineLevel="0" collapsed="false">
      <c r="A58" s="12"/>
      <c r="B58" s="12"/>
      <c r="C58" s="12"/>
      <c r="D58" s="12"/>
      <c r="E58" s="12"/>
      <c r="F58" s="12"/>
      <c r="G58" s="12"/>
      <c r="H58" s="12"/>
      <c r="I58" s="12"/>
      <c r="J58" s="12"/>
      <c r="K58" s="12"/>
      <c r="L58" s="12"/>
      <c r="M58" s="12"/>
      <c r="N58" s="5"/>
      <c r="O58" s="5"/>
      <c r="P58" s="5"/>
    </row>
    <row r="59" customFormat="false" ht="15" hidden="false" customHeight="false" outlineLevel="0" collapsed="false">
      <c r="A59" s="12"/>
      <c r="B59" s="12"/>
      <c r="C59" s="12"/>
      <c r="D59" s="12"/>
      <c r="E59" s="12"/>
      <c r="F59" s="12"/>
      <c r="G59" s="12"/>
      <c r="H59" s="12"/>
      <c r="I59" s="12"/>
      <c r="J59" s="12"/>
      <c r="K59" s="12"/>
      <c r="L59" s="12"/>
      <c r="M59" s="12"/>
      <c r="N59" s="5"/>
      <c r="O59" s="5"/>
      <c r="P59" s="5"/>
    </row>
    <row r="60" customFormat="false" ht="15" hidden="false" customHeight="false" outlineLevel="0" collapsed="false">
      <c r="A60" s="12"/>
      <c r="B60" s="12"/>
      <c r="C60" s="12"/>
      <c r="D60" s="12"/>
      <c r="E60" s="12"/>
      <c r="F60" s="12"/>
      <c r="G60" s="12"/>
      <c r="H60" s="12"/>
      <c r="I60" s="12"/>
      <c r="J60" s="12"/>
      <c r="K60" s="12"/>
      <c r="L60" s="12"/>
      <c r="M60" s="12"/>
      <c r="N60" s="5"/>
      <c r="O60" s="5"/>
      <c r="P60" s="5"/>
    </row>
    <row r="61" customFormat="false" ht="15" hidden="false" customHeight="false" outlineLevel="0" collapsed="false">
      <c r="A61" s="12"/>
      <c r="B61" s="12"/>
      <c r="C61" s="12"/>
      <c r="D61" s="12"/>
      <c r="E61" s="12"/>
      <c r="F61" s="12"/>
      <c r="G61" s="12"/>
      <c r="H61" s="12"/>
      <c r="I61" s="12"/>
      <c r="J61" s="12"/>
      <c r="K61" s="12"/>
      <c r="L61" s="12"/>
      <c r="M61" s="12"/>
      <c r="N61" s="5"/>
      <c r="O61" s="5"/>
      <c r="P61" s="5"/>
    </row>
    <row r="62" customFormat="false" ht="15" hidden="false" customHeight="false" outlineLevel="0" collapsed="false">
      <c r="A62" s="12"/>
      <c r="B62" s="12"/>
      <c r="C62" s="12"/>
      <c r="D62" s="12"/>
      <c r="E62" s="12"/>
      <c r="F62" s="12"/>
      <c r="G62" s="12"/>
      <c r="H62" s="12"/>
      <c r="I62" s="12"/>
      <c r="J62" s="12"/>
      <c r="K62" s="12"/>
      <c r="L62" s="12"/>
      <c r="M62" s="12"/>
      <c r="N62" s="5"/>
      <c r="O62" s="5"/>
      <c r="P62" s="5"/>
    </row>
    <row r="63" customFormat="false" ht="15" hidden="false" customHeight="false" outlineLevel="0" collapsed="false">
      <c r="A63" s="12"/>
      <c r="B63" s="12"/>
      <c r="C63" s="12"/>
      <c r="D63" s="12"/>
      <c r="E63" s="12"/>
      <c r="F63" s="12"/>
      <c r="G63" s="12"/>
      <c r="H63" s="12"/>
      <c r="I63" s="12"/>
      <c r="J63" s="12"/>
      <c r="K63" s="12"/>
      <c r="L63" s="12"/>
      <c r="M63" s="12"/>
      <c r="N63" s="5"/>
      <c r="O63" s="5"/>
      <c r="P63" s="5"/>
    </row>
    <row r="64" customFormat="false" ht="15" hidden="false" customHeight="false" outlineLevel="0" collapsed="false">
      <c r="A64" s="12"/>
      <c r="B64" s="12"/>
      <c r="C64" s="12"/>
      <c r="D64" s="12"/>
      <c r="E64" s="12"/>
      <c r="F64" s="12"/>
      <c r="G64" s="12"/>
      <c r="H64" s="12"/>
      <c r="I64" s="12"/>
      <c r="J64" s="12"/>
      <c r="K64" s="12"/>
      <c r="L64" s="12"/>
      <c r="M64" s="12"/>
      <c r="N64" s="5"/>
      <c r="O64" s="5"/>
      <c r="P64" s="5"/>
    </row>
    <row r="65" customFormat="false" ht="15" hidden="false" customHeight="false" outlineLevel="0" collapsed="false">
      <c r="A65" s="12"/>
      <c r="B65" s="12"/>
      <c r="C65" s="12"/>
      <c r="D65" s="12"/>
      <c r="E65" s="12"/>
      <c r="F65" s="12"/>
      <c r="G65" s="12"/>
      <c r="H65" s="12"/>
      <c r="I65" s="12"/>
      <c r="J65" s="12"/>
      <c r="K65" s="12"/>
      <c r="L65" s="12"/>
      <c r="M65" s="12"/>
      <c r="N65" s="5"/>
      <c r="O65" s="5"/>
      <c r="P65" s="5"/>
    </row>
    <row r="66" customFormat="false" ht="15" hidden="false" customHeight="false" outlineLevel="0" collapsed="false">
      <c r="A66" s="12"/>
      <c r="B66" s="12"/>
      <c r="C66" s="12"/>
      <c r="D66" s="12"/>
      <c r="E66" s="12"/>
      <c r="F66" s="12"/>
      <c r="G66" s="12"/>
      <c r="H66" s="12"/>
      <c r="I66" s="12"/>
      <c r="J66" s="12"/>
      <c r="K66" s="12"/>
      <c r="L66" s="12"/>
      <c r="M66" s="12"/>
      <c r="N66" s="5"/>
      <c r="O66" s="5"/>
      <c r="P66" s="5"/>
    </row>
    <row r="67" customFormat="false" ht="15" hidden="false" customHeight="false" outlineLevel="0" collapsed="false">
      <c r="A67" s="12"/>
      <c r="B67" s="12"/>
      <c r="C67" s="12"/>
      <c r="D67" s="12"/>
      <c r="E67" s="12"/>
      <c r="F67" s="12"/>
      <c r="G67" s="12"/>
      <c r="H67" s="12"/>
      <c r="I67" s="12"/>
      <c r="J67" s="12"/>
      <c r="K67" s="12"/>
      <c r="L67" s="12"/>
      <c r="M67" s="12"/>
      <c r="N67" s="5"/>
      <c r="O67" s="5"/>
      <c r="P67" s="5"/>
    </row>
    <row r="68" customFormat="false" ht="15" hidden="false" customHeight="false" outlineLevel="0" collapsed="false">
      <c r="A68" s="12"/>
      <c r="B68" s="12"/>
      <c r="C68" s="12"/>
      <c r="D68" s="12"/>
      <c r="E68" s="12"/>
      <c r="F68" s="12"/>
      <c r="G68" s="12"/>
      <c r="H68" s="12"/>
      <c r="I68" s="12"/>
      <c r="J68" s="12"/>
      <c r="K68" s="12"/>
      <c r="L68" s="12"/>
      <c r="M68" s="12"/>
      <c r="N68" s="5"/>
      <c r="O68" s="5"/>
      <c r="P68" s="5"/>
    </row>
    <row r="69" customFormat="false" ht="15" hidden="false" customHeight="false" outlineLevel="0" collapsed="false">
      <c r="A69" s="12"/>
      <c r="B69" s="12"/>
      <c r="C69" s="12"/>
      <c r="D69" s="12"/>
      <c r="E69" s="12"/>
      <c r="F69" s="12"/>
      <c r="G69" s="12"/>
      <c r="H69" s="12"/>
      <c r="I69" s="12"/>
      <c r="J69" s="12"/>
      <c r="K69" s="12"/>
      <c r="L69" s="12"/>
      <c r="M69" s="12"/>
      <c r="N69" s="5"/>
      <c r="O69" s="5"/>
      <c r="P69" s="5"/>
    </row>
    <row r="70" customFormat="false" ht="15" hidden="false" customHeight="false" outlineLevel="0" collapsed="false">
      <c r="A70" s="12"/>
      <c r="B70" s="12"/>
      <c r="C70" s="12"/>
      <c r="D70" s="12"/>
      <c r="E70" s="12"/>
      <c r="F70" s="12"/>
      <c r="G70" s="12"/>
      <c r="H70" s="12"/>
      <c r="I70" s="12"/>
      <c r="J70" s="12"/>
      <c r="K70" s="12"/>
      <c r="L70" s="12"/>
      <c r="M70" s="12"/>
      <c r="N70" s="5"/>
      <c r="O70" s="5"/>
      <c r="P70" s="5"/>
    </row>
    <row r="71" customFormat="false" ht="15" hidden="false" customHeight="false" outlineLevel="0" collapsed="false">
      <c r="A71" s="12"/>
      <c r="B71" s="12"/>
      <c r="C71" s="12"/>
      <c r="D71" s="12"/>
      <c r="E71" s="12"/>
      <c r="F71" s="12"/>
      <c r="G71" s="12"/>
      <c r="H71" s="12"/>
      <c r="I71" s="12"/>
      <c r="J71" s="12"/>
      <c r="K71" s="12"/>
      <c r="L71" s="12"/>
      <c r="M71" s="12"/>
      <c r="N71" s="5"/>
      <c r="O71" s="5"/>
      <c r="P71" s="5"/>
    </row>
    <row r="72" customFormat="false" ht="15" hidden="false" customHeight="false" outlineLevel="0" collapsed="false">
      <c r="A72" s="12"/>
      <c r="B72" s="12"/>
      <c r="C72" s="12"/>
      <c r="D72" s="12"/>
      <c r="E72" s="12"/>
      <c r="F72" s="12"/>
      <c r="G72" s="12"/>
      <c r="H72" s="12"/>
      <c r="I72" s="12"/>
      <c r="J72" s="12"/>
      <c r="K72" s="12"/>
      <c r="L72" s="12"/>
      <c r="M72" s="12"/>
      <c r="N72" s="5"/>
      <c r="O72" s="5"/>
      <c r="P72" s="5"/>
    </row>
    <row r="73" customFormat="false" ht="15" hidden="false" customHeight="false" outlineLevel="0" collapsed="false">
      <c r="A73" s="12"/>
      <c r="B73" s="12"/>
      <c r="C73" s="12"/>
      <c r="D73" s="12"/>
      <c r="E73" s="12"/>
      <c r="F73" s="12"/>
      <c r="G73" s="12"/>
      <c r="H73" s="12"/>
      <c r="I73" s="12"/>
      <c r="J73" s="12"/>
      <c r="K73" s="12"/>
      <c r="L73" s="12"/>
      <c r="M73" s="12"/>
      <c r="N73" s="5"/>
      <c r="O73" s="5"/>
      <c r="P73" s="5"/>
    </row>
    <row r="74" customFormat="false" ht="15" hidden="false" customHeight="false" outlineLevel="0" collapsed="false">
      <c r="A74" s="12"/>
      <c r="B74" s="12"/>
      <c r="C74" s="12"/>
      <c r="D74" s="12"/>
      <c r="E74" s="12"/>
      <c r="F74" s="12"/>
      <c r="G74" s="12"/>
      <c r="H74" s="12"/>
      <c r="I74" s="12"/>
      <c r="J74" s="12"/>
      <c r="K74" s="12"/>
      <c r="L74" s="12"/>
      <c r="M74" s="12"/>
      <c r="N74" s="5"/>
      <c r="O74" s="5"/>
      <c r="P74" s="5"/>
    </row>
    <row r="75" customFormat="false" ht="15" hidden="false" customHeight="false" outlineLevel="0" collapsed="false">
      <c r="A75" s="12"/>
      <c r="B75" s="12"/>
      <c r="C75" s="12"/>
      <c r="D75" s="12"/>
      <c r="E75" s="12"/>
      <c r="F75" s="12"/>
      <c r="G75" s="12"/>
      <c r="H75" s="12"/>
      <c r="I75" s="12"/>
      <c r="J75" s="12"/>
      <c r="K75" s="12"/>
      <c r="L75" s="12"/>
      <c r="M75" s="12"/>
      <c r="N75" s="5"/>
      <c r="O75" s="5"/>
      <c r="P75" s="5"/>
    </row>
    <row r="76" customFormat="false" ht="15" hidden="false" customHeight="false" outlineLevel="0" collapsed="false">
      <c r="A76" s="12"/>
      <c r="B76" s="12"/>
      <c r="C76" s="12"/>
      <c r="D76" s="12"/>
      <c r="E76" s="12"/>
      <c r="F76" s="12"/>
      <c r="G76" s="12"/>
      <c r="H76" s="12"/>
      <c r="I76" s="12"/>
      <c r="J76" s="12"/>
      <c r="K76" s="12"/>
      <c r="L76" s="12"/>
      <c r="M76" s="12"/>
      <c r="N76" s="5"/>
      <c r="O76" s="5"/>
      <c r="P76" s="5"/>
    </row>
    <row r="77" customFormat="false" ht="15" hidden="false" customHeight="false" outlineLevel="0" collapsed="false">
      <c r="A77" s="12"/>
      <c r="B77" s="12"/>
      <c r="C77" s="12"/>
      <c r="D77" s="12"/>
      <c r="E77" s="12"/>
      <c r="F77" s="12"/>
      <c r="G77" s="12"/>
      <c r="H77" s="12"/>
      <c r="I77" s="12"/>
      <c r="J77" s="12"/>
      <c r="K77" s="12"/>
      <c r="L77" s="12"/>
      <c r="M77" s="12"/>
      <c r="N77" s="5"/>
      <c r="O77" s="5"/>
      <c r="P77" s="5"/>
    </row>
    <row r="78" customFormat="false" ht="15" hidden="false" customHeight="false" outlineLevel="0" collapsed="false">
      <c r="A78" s="12"/>
      <c r="B78" s="12"/>
      <c r="C78" s="12"/>
      <c r="D78" s="12"/>
      <c r="E78" s="12"/>
      <c r="F78" s="12"/>
      <c r="G78" s="12"/>
      <c r="H78" s="12"/>
      <c r="I78" s="12"/>
      <c r="J78" s="12"/>
      <c r="K78" s="12"/>
      <c r="L78" s="12"/>
      <c r="M78" s="12"/>
      <c r="N78" s="5"/>
      <c r="O78" s="5"/>
      <c r="P78" s="5"/>
    </row>
    <row r="79" customFormat="false" ht="15" hidden="false" customHeight="false" outlineLevel="0" collapsed="false">
      <c r="A79" s="12"/>
      <c r="B79" s="12"/>
      <c r="C79" s="12"/>
      <c r="D79" s="12"/>
      <c r="E79" s="12"/>
      <c r="F79" s="12"/>
      <c r="G79" s="12"/>
      <c r="H79" s="12"/>
      <c r="I79" s="12"/>
      <c r="J79" s="12"/>
      <c r="K79" s="12"/>
      <c r="L79" s="12"/>
      <c r="M79" s="12"/>
      <c r="N79" s="5"/>
      <c r="O79" s="5"/>
      <c r="P79" s="5"/>
    </row>
    <row r="80" customFormat="false" ht="15" hidden="false" customHeight="false" outlineLevel="0" collapsed="false">
      <c r="A80" s="12"/>
      <c r="B80" s="12"/>
      <c r="C80" s="12"/>
      <c r="D80" s="12"/>
      <c r="E80" s="12"/>
      <c r="F80" s="12"/>
      <c r="G80" s="12"/>
      <c r="H80" s="12"/>
      <c r="I80" s="12"/>
      <c r="J80" s="12"/>
      <c r="K80" s="12"/>
      <c r="L80" s="12"/>
      <c r="M80" s="12"/>
      <c r="N80" s="5"/>
      <c r="O80" s="5"/>
      <c r="P80" s="5"/>
    </row>
    <row r="81" customFormat="false" ht="15" hidden="false" customHeight="false" outlineLevel="0" collapsed="false">
      <c r="A81" s="12"/>
      <c r="B81" s="12"/>
      <c r="C81" s="12"/>
      <c r="D81" s="12"/>
      <c r="E81" s="12"/>
      <c r="F81" s="12"/>
      <c r="G81" s="12"/>
      <c r="H81" s="12"/>
      <c r="I81" s="12"/>
      <c r="J81" s="12"/>
      <c r="K81" s="12"/>
      <c r="L81" s="12"/>
      <c r="M81" s="12"/>
      <c r="N81" s="5"/>
      <c r="O81" s="5"/>
      <c r="P81" s="5"/>
    </row>
    <row r="82" customFormat="false" ht="15" hidden="false" customHeight="false" outlineLevel="0" collapsed="false">
      <c r="A82" s="12"/>
      <c r="B82" s="12"/>
      <c r="C82" s="12"/>
      <c r="D82" s="12"/>
      <c r="E82" s="12"/>
      <c r="F82" s="12"/>
      <c r="G82" s="12"/>
      <c r="H82" s="12"/>
      <c r="I82" s="12"/>
      <c r="J82" s="12"/>
      <c r="K82" s="12"/>
      <c r="L82" s="12"/>
      <c r="M82" s="12"/>
      <c r="N82" s="5"/>
      <c r="O82" s="5"/>
      <c r="P82" s="5"/>
    </row>
    <row r="83" customFormat="false" ht="15" hidden="false" customHeight="false" outlineLevel="0" collapsed="false">
      <c r="A83" s="12"/>
      <c r="B83" s="12"/>
      <c r="C83" s="12"/>
      <c r="D83" s="12"/>
      <c r="E83" s="12"/>
      <c r="F83" s="12"/>
      <c r="G83" s="12"/>
      <c r="H83" s="12"/>
      <c r="I83" s="12"/>
      <c r="J83" s="12"/>
      <c r="K83" s="12"/>
      <c r="L83" s="12"/>
      <c r="M83" s="12"/>
      <c r="N83" s="5"/>
      <c r="O83" s="5"/>
      <c r="P83" s="5"/>
    </row>
    <row r="84" customFormat="false" ht="15" hidden="false" customHeight="false" outlineLevel="0" collapsed="false">
      <c r="A84" s="12"/>
      <c r="B84" s="12"/>
      <c r="C84" s="12"/>
      <c r="D84" s="12"/>
      <c r="E84" s="12"/>
      <c r="F84" s="12"/>
      <c r="G84" s="12"/>
      <c r="H84" s="12"/>
      <c r="I84" s="12"/>
      <c r="J84" s="12"/>
      <c r="K84" s="12"/>
      <c r="L84" s="12"/>
      <c r="M84" s="12"/>
      <c r="N84" s="5"/>
      <c r="O84" s="5"/>
      <c r="P84" s="5"/>
    </row>
    <row r="85" customFormat="false" ht="15" hidden="false" customHeight="false" outlineLevel="0" collapsed="false">
      <c r="A85" s="12"/>
      <c r="B85" s="12"/>
      <c r="C85" s="12"/>
      <c r="D85" s="12"/>
      <c r="E85" s="12"/>
      <c r="F85" s="12"/>
      <c r="G85" s="12"/>
      <c r="H85" s="12"/>
      <c r="I85" s="12"/>
      <c r="J85" s="12"/>
      <c r="K85" s="12"/>
      <c r="L85" s="12"/>
      <c r="M85" s="12"/>
      <c r="N85" s="5"/>
      <c r="O85" s="5"/>
      <c r="P85" s="5"/>
    </row>
    <row r="86" customFormat="false" ht="15" hidden="false" customHeight="false" outlineLevel="0" collapsed="false">
      <c r="A86" s="12"/>
      <c r="B86" s="12"/>
      <c r="C86" s="12"/>
      <c r="D86" s="12"/>
      <c r="E86" s="12"/>
      <c r="F86" s="12"/>
      <c r="G86" s="12"/>
      <c r="H86" s="12"/>
      <c r="I86" s="12"/>
      <c r="J86" s="12"/>
      <c r="K86" s="12"/>
      <c r="L86" s="12"/>
      <c r="M86" s="12"/>
      <c r="N86" s="5"/>
      <c r="O86" s="5"/>
      <c r="P86" s="5"/>
    </row>
    <row r="87" customFormat="false" ht="15" hidden="false" customHeight="false" outlineLevel="0" collapsed="false">
      <c r="A87" s="12"/>
      <c r="B87" s="12"/>
      <c r="C87" s="12"/>
      <c r="D87" s="12"/>
      <c r="E87" s="12"/>
      <c r="F87" s="12"/>
      <c r="G87" s="12"/>
      <c r="H87" s="12"/>
      <c r="I87" s="12"/>
      <c r="J87" s="12"/>
      <c r="K87" s="12"/>
      <c r="L87" s="12"/>
      <c r="M87" s="12"/>
      <c r="N87" s="5"/>
      <c r="O87" s="5"/>
      <c r="P87" s="5"/>
    </row>
    <row r="88" customFormat="false" ht="15" hidden="false" customHeight="false" outlineLevel="0" collapsed="false">
      <c r="A88" s="12"/>
      <c r="B88" s="12"/>
      <c r="C88" s="12"/>
      <c r="D88" s="12"/>
      <c r="E88" s="12"/>
      <c r="F88" s="12"/>
      <c r="G88" s="12"/>
      <c r="H88" s="12"/>
      <c r="I88" s="12"/>
      <c r="J88" s="12"/>
      <c r="K88" s="12"/>
      <c r="L88" s="12"/>
      <c r="M88" s="12"/>
      <c r="N88" s="5"/>
      <c r="O88" s="5"/>
      <c r="P88" s="5"/>
    </row>
    <row r="89" customFormat="false" ht="15" hidden="false" customHeight="false" outlineLevel="0" collapsed="false">
      <c r="A89" s="12"/>
      <c r="B89" s="12"/>
      <c r="C89" s="12"/>
      <c r="D89" s="12"/>
      <c r="E89" s="12"/>
      <c r="F89" s="12"/>
      <c r="G89" s="12"/>
      <c r="H89" s="12"/>
      <c r="I89" s="12"/>
      <c r="J89" s="12"/>
      <c r="K89" s="12"/>
      <c r="L89" s="12"/>
      <c r="M89" s="12"/>
      <c r="N89" s="5"/>
      <c r="O89" s="5"/>
      <c r="P89" s="5"/>
    </row>
    <row r="90" customFormat="false" ht="15" hidden="false" customHeight="false" outlineLevel="0" collapsed="false">
      <c r="A90" s="12"/>
      <c r="B90" s="12"/>
      <c r="C90" s="12"/>
      <c r="D90" s="12"/>
      <c r="E90" s="12"/>
      <c r="F90" s="12"/>
      <c r="G90" s="12"/>
      <c r="H90" s="12"/>
      <c r="I90" s="12"/>
      <c r="J90" s="12"/>
      <c r="K90" s="12"/>
      <c r="L90" s="12"/>
      <c r="M90" s="12"/>
      <c r="N90" s="5"/>
      <c r="O90" s="5"/>
      <c r="P90" s="5"/>
    </row>
    <row r="91" customFormat="false" ht="15" hidden="false" customHeight="false" outlineLevel="0" collapsed="false">
      <c r="A91" s="12"/>
      <c r="B91" s="12"/>
      <c r="C91" s="12"/>
      <c r="D91" s="12"/>
      <c r="E91" s="12"/>
      <c r="F91" s="12"/>
      <c r="G91" s="12"/>
      <c r="H91" s="12"/>
      <c r="I91" s="12"/>
      <c r="J91" s="12"/>
      <c r="K91" s="12"/>
      <c r="L91" s="12"/>
      <c r="M91" s="12"/>
      <c r="N91" s="5"/>
      <c r="O91" s="5"/>
      <c r="P91" s="5"/>
    </row>
    <row r="92" customFormat="false" ht="15" hidden="false" customHeight="false" outlineLevel="0" collapsed="false">
      <c r="A92" s="12"/>
      <c r="B92" s="12"/>
      <c r="C92" s="12"/>
      <c r="D92" s="12"/>
      <c r="E92" s="12"/>
      <c r="F92" s="12"/>
      <c r="G92" s="12"/>
      <c r="H92" s="12"/>
      <c r="I92" s="12"/>
      <c r="J92" s="12"/>
      <c r="K92" s="12"/>
      <c r="L92" s="12"/>
      <c r="M92" s="12"/>
      <c r="N92" s="5"/>
      <c r="O92" s="5"/>
      <c r="P92" s="5"/>
    </row>
    <row r="93" customFormat="false" ht="15" hidden="false" customHeight="false" outlineLevel="0" collapsed="false">
      <c r="A93" s="12"/>
      <c r="B93" s="12"/>
      <c r="C93" s="12"/>
      <c r="D93" s="12"/>
      <c r="E93" s="12"/>
      <c r="F93" s="12"/>
      <c r="G93" s="12"/>
      <c r="H93" s="12"/>
      <c r="I93" s="12"/>
      <c r="J93" s="12"/>
      <c r="K93" s="12"/>
      <c r="L93" s="12"/>
      <c r="M93" s="12"/>
      <c r="N93" s="5"/>
      <c r="O93" s="5"/>
      <c r="P93" s="5"/>
    </row>
    <row r="94" customFormat="false" ht="15" hidden="false" customHeight="false" outlineLevel="0" collapsed="false">
      <c r="A94" s="12"/>
      <c r="B94" s="12"/>
      <c r="C94" s="12"/>
      <c r="D94" s="12"/>
      <c r="E94" s="12"/>
      <c r="F94" s="12"/>
      <c r="G94" s="12"/>
      <c r="H94" s="12"/>
      <c r="I94" s="12"/>
      <c r="J94" s="12"/>
      <c r="K94" s="12"/>
      <c r="L94" s="12"/>
      <c r="M94" s="12"/>
      <c r="N94" s="5"/>
      <c r="O94" s="5"/>
      <c r="P94" s="5"/>
    </row>
    <row r="95" customFormat="false" ht="15" hidden="false" customHeight="false" outlineLevel="0" collapsed="false">
      <c r="A95" s="12"/>
      <c r="B95" s="12"/>
      <c r="C95" s="12"/>
      <c r="D95" s="12"/>
      <c r="E95" s="12"/>
      <c r="F95" s="12"/>
      <c r="G95" s="12"/>
      <c r="H95" s="12"/>
      <c r="I95" s="12"/>
      <c r="J95" s="12"/>
      <c r="K95" s="12"/>
      <c r="L95" s="12"/>
      <c r="M95" s="12"/>
      <c r="N95" s="5"/>
      <c r="O95" s="5"/>
      <c r="P95" s="5"/>
    </row>
    <row r="96" customFormat="false" ht="15" hidden="false" customHeight="false" outlineLevel="0" collapsed="false">
      <c r="A96" s="12"/>
      <c r="B96" s="12"/>
      <c r="C96" s="12"/>
      <c r="D96" s="12"/>
      <c r="E96" s="12"/>
      <c r="F96" s="12"/>
      <c r="G96" s="12"/>
      <c r="H96" s="12"/>
      <c r="I96" s="12"/>
      <c r="J96" s="12"/>
      <c r="K96" s="12"/>
      <c r="L96" s="12"/>
      <c r="M96" s="12"/>
      <c r="N96" s="5"/>
      <c r="O96" s="5"/>
      <c r="P96" s="5"/>
    </row>
    <row r="97" customFormat="false" ht="15" hidden="false" customHeight="false" outlineLevel="0" collapsed="false">
      <c r="A97" s="12"/>
      <c r="B97" s="12"/>
      <c r="C97" s="12"/>
      <c r="D97" s="12"/>
      <c r="E97" s="12"/>
      <c r="F97" s="12"/>
      <c r="G97" s="12"/>
      <c r="H97" s="12"/>
      <c r="I97" s="12"/>
      <c r="J97" s="12"/>
      <c r="K97" s="12"/>
      <c r="L97" s="12"/>
      <c r="M97" s="12"/>
      <c r="N97" s="5"/>
      <c r="O97" s="5"/>
      <c r="P97" s="5"/>
    </row>
    <row r="98" customFormat="false" ht="15" hidden="false" customHeight="false" outlineLevel="0" collapsed="false">
      <c r="A98" s="12"/>
      <c r="B98" s="12"/>
      <c r="C98" s="12"/>
      <c r="D98" s="12"/>
      <c r="E98" s="12"/>
      <c r="F98" s="12"/>
      <c r="G98" s="12"/>
      <c r="H98" s="12"/>
      <c r="I98" s="12"/>
      <c r="J98" s="12"/>
      <c r="K98" s="12"/>
      <c r="L98" s="12"/>
      <c r="M98" s="12"/>
      <c r="N98" s="5"/>
      <c r="O98" s="5"/>
      <c r="P98" s="5"/>
    </row>
    <row r="99" customFormat="false" ht="15" hidden="false" customHeight="false" outlineLevel="0" collapsed="false">
      <c r="A99" s="12"/>
      <c r="B99" s="12"/>
      <c r="C99" s="12"/>
      <c r="D99" s="12"/>
      <c r="E99" s="12"/>
      <c r="F99" s="12"/>
      <c r="G99" s="12"/>
      <c r="H99" s="12"/>
      <c r="I99" s="12"/>
      <c r="J99" s="12"/>
      <c r="K99" s="12"/>
      <c r="L99" s="12"/>
      <c r="M99" s="12"/>
      <c r="N99" s="5"/>
      <c r="O99" s="5"/>
      <c r="P99" s="5"/>
    </row>
    <row r="100" customFormat="false" ht="15" hidden="false" customHeight="false" outlineLevel="0" collapsed="false">
      <c r="A100" s="12"/>
      <c r="B100" s="12"/>
      <c r="C100" s="12"/>
      <c r="D100" s="12"/>
      <c r="E100" s="12"/>
      <c r="F100" s="12"/>
      <c r="G100" s="12"/>
      <c r="H100" s="12"/>
      <c r="I100" s="12"/>
      <c r="J100" s="12"/>
      <c r="K100" s="12"/>
      <c r="L100" s="12"/>
      <c r="M100" s="12"/>
      <c r="N100" s="5"/>
      <c r="O100" s="5"/>
      <c r="P100" s="5"/>
    </row>
    <row r="101" customFormat="false" ht="15" hidden="false" customHeight="false" outlineLevel="0" collapsed="false">
      <c r="A101" s="12"/>
      <c r="B101" s="12"/>
      <c r="C101" s="12"/>
      <c r="D101" s="12"/>
      <c r="E101" s="12"/>
      <c r="F101" s="12"/>
      <c r="G101" s="12"/>
      <c r="H101" s="12"/>
      <c r="I101" s="12"/>
      <c r="J101" s="12"/>
      <c r="K101" s="12"/>
      <c r="L101" s="12"/>
      <c r="M101" s="12"/>
      <c r="N101" s="5"/>
      <c r="O101" s="5"/>
      <c r="P101" s="5"/>
    </row>
    <row r="102" customFormat="false" ht="15" hidden="false" customHeight="false" outlineLevel="0" collapsed="false">
      <c r="A102" s="12"/>
      <c r="B102" s="12"/>
      <c r="C102" s="12"/>
      <c r="D102" s="12"/>
      <c r="E102" s="12"/>
      <c r="F102" s="12"/>
      <c r="G102" s="12"/>
      <c r="H102" s="12"/>
      <c r="I102" s="12"/>
      <c r="J102" s="12"/>
      <c r="K102" s="12"/>
      <c r="L102" s="12"/>
      <c r="M102" s="12"/>
      <c r="N102" s="5"/>
      <c r="O102" s="5"/>
      <c r="P102" s="5"/>
    </row>
    <row r="103" customFormat="false" ht="15" hidden="false" customHeight="false" outlineLevel="0" collapsed="false">
      <c r="A103" s="12"/>
      <c r="B103" s="12"/>
      <c r="C103" s="12"/>
      <c r="D103" s="12"/>
      <c r="E103" s="12"/>
      <c r="F103" s="12"/>
      <c r="G103" s="12"/>
      <c r="H103" s="12"/>
      <c r="I103" s="12"/>
      <c r="J103" s="12"/>
      <c r="K103" s="12"/>
      <c r="L103" s="12"/>
      <c r="M103" s="12"/>
      <c r="N103" s="5"/>
      <c r="O103" s="5"/>
      <c r="P103" s="5"/>
    </row>
  </sheetData>
  <autoFilter ref="A1:M103"/>
  <dataValidations count="2">
    <dataValidation allowBlank="true" error="Pick a value from the list" errorStyle="stop" errorTitle="Invalid value" operator="between" showDropDown="false" showErrorMessage="false" showInputMessage="false" sqref="E3:E103" type="list">
      <formula1>"rPET,rWood,Booths,Textile (Interior/Solid/Divide),General"</formula1>
      <formula2>0</formula2>
    </dataValidation>
    <dataValidation allowBlank="true" error="Pick a value from the list" errorStyle="stop" errorTitle="Invalid value" operator="between" showDropDown="false" showErrorMessage="false" showInputMessage="false" sqref="D3:D103" type="list">
      <formula1>"buy,compare,learn,manufacturer"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9"/>
    <col collapsed="false" customWidth="true" hidden="false" outlineLevel="0" max="2" min="2" style="0" width="7"/>
    <col collapsed="false" customWidth="true" hidden="false" outlineLevel="0" max="3" min="3" style="0" width="26"/>
    <col collapsed="false" customWidth="true" hidden="false" outlineLevel="0" max="5" min="4" style="0" width="44"/>
    <col collapsed="false" customWidth="true" hidden="false" outlineLevel="0" max="6" min="6" style="0" width="40"/>
    <col collapsed="false" customWidth="true" hidden="false" outlineLevel="0" max="7" min="7" style="0" width="50"/>
    <col collapsed="false" customWidth="true" hidden="false" outlineLevel="0" max="8" min="8" style="0" width="40"/>
    <col collapsed="false" customWidth="true" hidden="false" outlineLevel="0" max="12" min="9" style="0" width="22"/>
    <col collapsed="false" customWidth="true" hidden="false" outlineLevel="0" max="13" min="13" style="0" width="24"/>
    <col collapsed="false" customWidth="true" hidden="false" outlineLevel="0" max="14" min="14" style="0" width="26"/>
    <col collapsed="false" customWidth="true" hidden="false" outlineLevel="0" max="15" min="15" style="0" width="30"/>
    <col collapsed="false" customWidth="true" hidden="false" outlineLevel="0" max="16" min="16" style="0" width="26"/>
    <col collapsed="false" customWidth="true" hidden="false" outlineLevel="0" max="17" min="17" style="0" width="30"/>
    <col collapsed="false" customWidth="true" hidden="false" outlineLevel="0" max="18" min="18" style="0" width="26"/>
    <col collapsed="false" customWidth="true" hidden="false" outlineLevel="0" max="19" min="19" style="0" width="30"/>
    <col collapsed="false" customWidth="true" hidden="false" outlineLevel="0" max="20" min="20" style="0" width="26"/>
    <col collapsed="false" customWidth="true" hidden="false" outlineLevel="0" max="21" min="21" style="0" width="30"/>
    <col collapsed="false" customWidth="true" hidden="false" outlineLevel="0" max="22" min="22" style="0" width="26"/>
    <col collapsed="false" customWidth="true" hidden="false" outlineLevel="0" max="23" min="23" style="0" width="30"/>
    <col collapsed="false" customWidth="true" hidden="false" outlineLevel="0" max="25" min="24" style="0" width="22"/>
    <col collapsed="false" customWidth="true" hidden="false" outlineLevel="0" max="26" min="26" style="0" width="18"/>
    <col collapsed="false" customWidth="true" hidden="false" outlineLevel="0" max="29" min="27" style="0" width="10"/>
    <col collapsed="false" customWidth="true" hidden="false" outlineLevel="0" max="30" min="30" style="0" width="12"/>
  </cols>
  <sheetData>
    <row r="1" customFormat="false" ht="31.5" hidden="false" customHeight="true" outlineLevel="0" collapsed="false">
      <c r="A1" s="4" t="s">
        <v>20</v>
      </c>
      <c r="B1" s="4" t="s">
        <v>290</v>
      </c>
      <c r="C1" s="4" t="s">
        <v>291</v>
      </c>
      <c r="D1" s="4" t="s">
        <v>292</v>
      </c>
      <c r="E1" s="4" t="s">
        <v>293</v>
      </c>
      <c r="F1" s="4" t="s">
        <v>294</v>
      </c>
      <c r="G1" s="4" t="s">
        <v>295</v>
      </c>
      <c r="H1" s="4" t="s">
        <v>296</v>
      </c>
      <c r="I1" s="4" t="s">
        <v>297</v>
      </c>
      <c r="J1" s="4" t="s">
        <v>298</v>
      </c>
      <c r="K1" s="4" t="s">
        <v>299</v>
      </c>
      <c r="L1" s="4" t="s">
        <v>300</v>
      </c>
      <c r="M1" s="4" t="s">
        <v>301</v>
      </c>
      <c r="N1" s="4" t="s">
        <v>302</v>
      </c>
      <c r="O1" s="4" t="s">
        <v>303</v>
      </c>
      <c r="P1" s="4" t="s">
        <v>304</v>
      </c>
      <c r="Q1" s="4" t="s">
        <v>305</v>
      </c>
      <c r="R1" s="4" t="s">
        <v>306</v>
      </c>
      <c r="S1" s="4" t="s">
        <v>307</v>
      </c>
      <c r="T1" s="4" t="s">
        <v>308</v>
      </c>
      <c r="U1" s="4" t="s">
        <v>309</v>
      </c>
      <c r="V1" s="4" t="s">
        <v>310</v>
      </c>
      <c r="W1" s="4" t="s">
        <v>311</v>
      </c>
      <c r="X1" s="4" t="s">
        <v>312</v>
      </c>
      <c r="Y1" s="4" t="s">
        <v>313</v>
      </c>
      <c r="Z1" s="4" t="s">
        <v>314</v>
      </c>
      <c r="AA1" s="4" t="s">
        <v>315</v>
      </c>
      <c r="AB1" s="4" t="s">
        <v>316</v>
      </c>
      <c r="AC1" s="4" t="s">
        <v>317</v>
      </c>
      <c r="AD1" s="4" t="s">
        <v>27</v>
      </c>
    </row>
    <row r="2" customFormat="false" ht="63.75" hidden="false" customHeight="true" outlineLevel="0" collapsed="false">
      <c r="A2" s="7" t="s">
        <v>318</v>
      </c>
      <c r="B2" s="7" t="s">
        <v>319</v>
      </c>
      <c r="C2" s="7" t="s">
        <v>320</v>
      </c>
      <c r="D2" s="7" t="s">
        <v>321</v>
      </c>
      <c r="E2" s="7" t="s">
        <v>322</v>
      </c>
      <c r="F2" s="7" t="s">
        <v>323</v>
      </c>
      <c r="G2" s="7" t="s">
        <v>324</v>
      </c>
      <c r="H2" s="7" t="s">
        <v>325</v>
      </c>
      <c r="I2" s="7" t="s">
        <v>326</v>
      </c>
      <c r="J2" s="7" t="s">
        <v>327</v>
      </c>
      <c r="K2" s="7" t="s">
        <v>328</v>
      </c>
      <c r="L2" s="7" t="s">
        <v>329</v>
      </c>
      <c r="M2" s="7" t="s">
        <v>330</v>
      </c>
      <c r="N2" s="7" t="s">
        <v>331</v>
      </c>
      <c r="O2" s="7" t="s">
        <v>332</v>
      </c>
      <c r="P2" s="7"/>
      <c r="Q2" s="7"/>
      <c r="R2" s="7"/>
      <c r="S2" s="7"/>
      <c r="T2" s="7"/>
      <c r="U2" s="7"/>
      <c r="V2" s="7"/>
      <c r="W2" s="7"/>
      <c r="X2" s="7" t="s">
        <v>333</v>
      </c>
      <c r="Y2" s="7" t="s">
        <v>334</v>
      </c>
      <c r="Z2" s="7" t="s">
        <v>335</v>
      </c>
      <c r="AA2" s="7" t="s">
        <v>336</v>
      </c>
      <c r="AB2" s="7" t="s">
        <v>336</v>
      </c>
      <c r="AC2" s="7" t="s">
        <v>336</v>
      </c>
      <c r="AD2" s="7" t="s">
        <v>182</v>
      </c>
    </row>
    <row r="3" customFormat="false" ht="48" hidden="false" customHeight="true" outlineLevel="0" collapsed="false">
      <c r="A3" s="10" t="s">
        <v>50</v>
      </c>
      <c r="B3" s="10" t="s">
        <v>192</v>
      </c>
      <c r="C3" s="10" t="s">
        <v>337</v>
      </c>
      <c r="D3" s="10" t="s">
        <v>338</v>
      </c>
      <c r="E3" s="10" t="s">
        <v>339</v>
      </c>
      <c r="F3" s="10" t="s">
        <v>340</v>
      </c>
      <c r="G3" s="10" t="s">
        <v>341</v>
      </c>
      <c r="H3" s="10" t="s">
        <v>342</v>
      </c>
      <c r="I3" s="10" t="s">
        <v>343</v>
      </c>
      <c r="J3" s="10" t="s">
        <v>344</v>
      </c>
      <c r="K3" s="10" t="s">
        <v>345</v>
      </c>
      <c r="L3" s="10" t="s">
        <v>346</v>
      </c>
      <c r="M3" s="10" t="s">
        <v>347</v>
      </c>
      <c r="N3" s="10" t="s">
        <v>348</v>
      </c>
      <c r="O3" s="10" t="s">
        <v>349</v>
      </c>
      <c r="P3" s="10" t="s">
        <v>350</v>
      </c>
      <c r="Q3" s="10" t="s">
        <v>349</v>
      </c>
      <c r="R3" s="10" t="s">
        <v>351</v>
      </c>
      <c r="S3" s="10" t="s">
        <v>349</v>
      </c>
      <c r="T3" s="10" t="s">
        <v>352</v>
      </c>
      <c r="U3" s="10" t="s">
        <v>349</v>
      </c>
      <c r="V3" s="10" t="s">
        <v>353</v>
      </c>
      <c r="W3" s="10" t="s">
        <v>349</v>
      </c>
      <c r="X3" s="10" t="s">
        <v>354</v>
      </c>
      <c r="Y3" s="10" t="s">
        <v>355</v>
      </c>
      <c r="Z3" s="10" t="s">
        <v>356</v>
      </c>
      <c r="AA3" s="11" t="n">
        <f aca="false">IF(G3="","",LEN(TRIM(G3))-LEN(SUBSTITUTE(TRIM(G3)," ",""))+1)</f>
        <v>17</v>
      </c>
      <c r="AB3" s="11" t="n">
        <f aca="false">IF(D3="","",LEN(D3))</f>
        <v>56</v>
      </c>
      <c r="AC3" s="11" t="n">
        <f aca="false">IF(E3="","",LEN(E3))</f>
        <v>146</v>
      </c>
      <c r="AD3" s="10" t="s">
        <v>56</v>
      </c>
    </row>
    <row r="4" customFormat="false" ht="27.75" hidden="false" customHeight="true" outlineLevel="0" collapsed="false">
      <c r="A4" s="11" t="s">
        <v>50</v>
      </c>
      <c r="B4" s="11" t="s">
        <v>77</v>
      </c>
      <c r="C4" s="11" t="s">
        <v>357</v>
      </c>
      <c r="D4" s="11" t="s">
        <v>358</v>
      </c>
      <c r="E4" s="12"/>
      <c r="F4" s="11" t="s">
        <v>359</v>
      </c>
      <c r="G4" s="12"/>
      <c r="H4" s="12"/>
      <c r="I4" s="12"/>
      <c r="J4" s="12"/>
      <c r="K4" s="12"/>
      <c r="L4" s="12"/>
      <c r="M4" s="12"/>
      <c r="N4" s="12"/>
      <c r="O4" s="12"/>
      <c r="P4" s="12"/>
      <c r="Q4" s="12"/>
      <c r="R4" s="12"/>
      <c r="S4" s="12"/>
      <c r="T4" s="12"/>
      <c r="U4" s="12"/>
      <c r="V4" s="12"/>
      <c r="W4" s="12"/>
      <c r="X4" s="12"/>
      <c r="Y4" s="12"/>
      <c r="Z4" s="12"/>
      <c r="AA4" s="11" t="str">
        <f aca="false">IF(G4="","",LEN(TRIM(G4))-LEN(SUBSTITUTE(TRIM(G4)," ",""))+1)</f>
        <v/>
      </c>
      <c r="AB4" s="11" t="n">
        <f aca="false">IF(D4="","",LEN(D4))</f>
        <v>63</v>
      </c>
      <c r="AC4" s="11" t="str">
        <f aca="false">IF(E4="","",LEN(E4))</f>
        <v/>
      </c>
      <c r="AD4" s="11" t="s">
        <v>46</v>
      </c>
    </row>
    <row r="5" customFormat="false" ht="27.75" hidden="false" customHeight="true" outlineLevel="0" collapsed="false">
      <c r="A5" s="11" t="s">
        <v>50</v>
      </c>
      <c r="B5" s="11" t="s">
        <v>192</v>
      </c>
      <c r="C5" s="11" t="s">
        <v>337</v>
      </c>
      <c r="D5" s="11" t="s">
        <v>338</v>
      </c>
      <c r="E5" s="12"/>
      <c r="F5" s="11" t="s">
        <v>340</v>
      </c>
      <c r="G5" s="12"/>
      <c r="H5" s="12"/>
      <c r="I5" s="12"/>
      <c r="J5" s="12"/>
      <c r="K5" s="12"/>
      <c r="L5" s="12"/>
      <c r="M5" s="12"/>
      <c r="N5" s="12"/>
      <c r="O5" s="12"/>
      <c r="P5" s="12"/>
      <c r="Q5" s="12"/>
      <c r="R5" s="12"/>
      <c r="S5" s="12"/>
      <c r="T5" s="12"/>
      <c r="U5" s="12"/>
      <c r="V5" s="12"/>
      <c r="W5" s="12"/>
      <c r="X5" s="12"/>
      <c r="Y5" s="12"/>
      <c r="Z5" s="12"/>
      <c r="AA5" s="11" t="str">
        <f aca="false">IF(G5="","",LEN(TRIM(G5))-LEN(SUBSTITUTE(TRIM(G5)," ",""))+1)</f>
        <v/>
      </c>
      <c r="AB5" s="11" t="n">
        <f aca="false">IF(D5="","",LEN(D5))</f>
        <v>56</v>
      </c>
      <c r="AC5" s="11" t="str">
        <f aca="false">IF(E5="","",LEN(E5))</f>
        <v/>
      </c>
      <c r="AD5" s="11" t="s">
        <v>46</v>
      </c>
    </row>
    <row r="6" customFormat="false" ht="27.75" hidden="false" customHeight="true" outlineLevel="0" collapsed="false">
      <c r="A6" s="11" t="s">
        <v>50</v>
      </c>
      <c r="B6" s="11" t="s">
        <v>240</v>
      </c>
      <c r="C6" s="11" t="s">
        <v>360</v>
      </c>
      <c r="D6" s="11" t="s">
        <v>361</v>
      </c>
      <c r="E6" s="12"/>
      <c r="F6" s="11" t="s">
        <v>362</v>
      </c>
      <c r="G6" s="12"/>
      <c r="H6" s="12"/>
      <c r="I6" s="12"/>
      <c r="J6" s="12"/>
      <c r="K6" s="12"/>
      <c r="L6" s="12"/>
      <c r="M6" s="12"/>
      <c r="N6" s="12"/>
      <c r="O6" s="12"/>
      <c r="P6" s="12"/>
      <c r="Q6" s="12"/>
      <c r="R6" s="12"/>
      <c r="S6" s="12"/>
      <c r="T6" s="12"/>
      <c r="U6" s="12"/>
      <c r="V6" s="12"/>
      <c r="W6" s="12"/>
      <c r="X6" s="12"/>
      <c r="Y6" s="12"/>
      <c r="Z6" s="12"/>
      <c r="AA6" s="11" t="str">
        <f aca="false">IF(G6="","",LEN(TRIM(G6))-LEN(SUBSTITUTE(TRIM(G6)," ",""))+1)</f>
        <v/>
      </c>
      <c r="AB6" s="11" t="n">
        <f aca="false">IF(D6="","",LEN(D6))</f>
        <v>61</v>
      </c>
      <c r="AC6" s="11" t="str">
        <f aca="false">IF(E6="","",LEN(E6))</f>
        <v/>
      </c>
      <c r="AD6" s="11" t="s">
        <v>46</v>
      </c>
    </row>
    <row r="7" customFormat="false" ht="27.75" hidden="false" customHeight="true" outlineLevel="0" collapsed="false">
      <c r="A7" s="11" t="s">
        <v>50</v>
      </c>
      <c r="B7" s="11" t="s">
        <v>279</v>
      </c>
      <c r="C7" s="11" t="s">
        <v>363</v>
      </c>
      <c r="D7" s="11" t="s">
        <v>364</v>
      </c>
      <c r="E7" s="12"/>
      <c r="F7" s="11" t="s">
        <v>365</v>
      </c>
      <c r="G7" s="12"/>
      <c r="H7" s="12"/>
      <c r="I7" s="12"/>
      <c r="J7" s="12"/>
      <c r="K7" s="12"/>
      <c r="L7" s="12"/>
      <c r="M7" s="12"/>
      <c r="N7" s="12"/>
      <c r="O7" s="12"/>
      <c r="P7" s="12"/>
      <c r="Q7" s="12"/>
      <c r="R7" s="12"/>
      <c r="S7" s="12"/>
      <c r="T7" s="12"/>
      <c r="U7" s="12"/>
      <c r="V7" s="12"/>
      <c r="W7" s="12"/>
      <c r="X7" s="12"/>
      <c r="Y7" s="12"/>
      <c r="Z7" s="12"/>
      <c r="AA7" s="11" t="str">
        <f aca="false">IF(G7="","",LEN(TRIM(G7))-LEN(SUBSTITUTE(TRIM(G7)," ",""))+1)</f>
        <v/>
      </c>
      <c r="AB7" s="11" t="n">
        <f aca="false">IF(D7="","",LEN(D7))</f>
        <v>60</v>
      </c>
      <c r="AC7" s="11" t="str">
        <f aca="false">IF(E7="","",LEN(E7))</f>
        <v/>
      </c>
      <c r="AD7" s="11" t="s">
        <v>46</v>
      </c>
    </row>
    <row r="8" customFormat="false" ht="27.75" hidden="false" customHeight="true" outlineLevel="0" collapsed="false">
      <c r="A8" s="11" t="s">
        <v>63</v>
      </c>
      <c r="B8" s="11" t="s">
        <v>77</v>
      </c>
      <c r="C8" s="11" t="s">
        <v>366</v>
      </c>
      <c r="D8" s="11" t="s">
        <v>367</v>
      </c>
      <c r="E8" s="12"/>
      <c r="F8" s="11" t="s">
        <v>368</v>
      </c>
      <c r="G8" s="12"/>
      <c r="H8" s="12"/>
      <c r="I8" s="12"/>
      <c r="J8" s="12"/>
      <c r="K8" s="12"/>
      <c r="L8" s="12"/>
      <c r="M8" s="12"/>
      <c r="N8" s="12"/>
      <c r="O8" s="12"/>
      <c r="P8" s="12"/>
      <c r="Q8" s="12"/>
      <c r="R8" s="12"/>
      <c r="S8" s="12"/>
      <c r="T8" s="12"/>
      <c r="U8" s="12"/>
      <c r="V8" s="12"/>
      <c r="W8" s="12"/>
      <c r="X8" s="12"/>
      <c r="Y8" s="12"/>
      <c r="Z8" s="12"/>
      <c r="AA8" s="11" t="str">
        <f aca="false">IF(G8="","",LEN(TRIM(G8))-LEN(SUBSTITUTE(TRIM(G8)," ",""))+1)</f>
        <v/>
      </c>
      <c r="AB8" s="11" t="n">
        <f aca="false">IF(D8="","",LEN(D8))</f>
        <v>59</v>
      </c>
      <c r="AC8" s="11" t="str">
        <f aca="false">IF(E8="","",LEN(E8))</f>
        <v/>
      </c>
      <c r="AD8" s="11" t="s">
        <v>46</v>
      </c>
    </row>
    <row r="9" customFormat="false" ht="27.75" hidden="false" customHeight="true" outlineLevel="0" collapsed="false">
      <c r="A9" s="11" t="s">
        <v>63</v>
      </c>
      <c r="B9" s="11" t="s">
        <v>192</v>
      </c>
      <c r="C9" s="11" t="s">
        <v>369</v>
      </c>
      <c r="D9" s="11" t="s">
        <v>370</v>
      </c>
      <c r="E9" s="12"/>
      <c r="F9" s="11" t="s">
        <v>371</v>
      </c>
      <c r="G9" s="12"/>
      <c r="H9" s="12"/>
      <c r="I9" s="12"/>
      <c r="J9" s="12"/>
      <c r="K9" s="12"/>
      <c r="L9" s="12"/>
      <c r="M9" s="12"/>
      <c r="N9" s="12"/>
      <c r="O9" s="12"/>
      <c r="P9" s="12"/>
      <c r="Q9" s="12"/>
      <c r="R9" s="12"/>
      <c r="S9" s="12"/>
      <c r="T9" s="12"/>
      <c r="U9" s="12"/>
      <c r="V9" s="12"/>
      <c r="W9" s="12"/>
      <c r="X9" s="12"/>
      <c r="Y9" s="12"/>
      <c r="Z9" s="12"/>
      <c r="AA9" s="11" t="str">
        <f aca="false">IF(G9="","",LEN(TRIM(G9))-LEN(SUBSTITUTE(TRIM(G9)," ",""))+1)</f>
        <v/>
      </c>
      <c r="AB9" s="11" t="n">
        <f aca="false">IF(D9="","",LEN(D9))</f>
        <v>65</v>
      </c>
      <c r="AC9" s="11" t="str">
        <f aca="false">IF(E9="","",LEN(E9))</f>
        <v/>
      </c>
      <c r="AD9" s="11" t="s">
        <v>46</v>
      </c>
    </row>
    <row r="10" customFormat="false" ht="27.75" hidden="false" customHeight="true" outlineLevel="0" collapsed="false">
      <c r="A10" s="11" t="s">
        <v>63</v>
      </c>
      <c r="B10" s="11" t="s">
        <v>240</v>
      </c>
      <c r="C10" s="11" t="s">
        <v>372</v>
      </c>
      <c r="D10" s="11" t="s">
        <v>373</v>
      </c>
      <c r="E10" s="12"/>
      <c r="F10" s="11" t="s">
        <v>374</v>
      </c>
      <c r="G10" s="12"/>
      <c r="H10" s="12"/>
      <c r="I10" s="12"/>
      <c r="J10" s="12"/>
      <c r="K10" s="12"/>
      <c r="L10" s="12"/>
      <c r="M10" s="12"/>
      <c r="N10" s="12"/>
      <c r="O10" s="12"/>
      <c r="P10" s="12"/>
      <c r="Q10" s="12"/>
      <c r="R10" s="12"/>
      <c r="S10" s="12"/>
      <c r="T10" s="12"/>
      <c r="U10" s="12"/>
      <c r="V10" s="12"/>
      <c r="W10" s="12"/>
      <c r="X10" s="12"/>
      <c r="Y10" s="12"/>
      <c r="Z10" s="12"/>
      <c r="AA10" s="11" t="str">
        <f aca="false">IF(G10="","",LEN(TRIM(G10))-LEN(SUBSTITUTE(TRIM(G10)," ",""))+1)</f>
        <v/>
      </c>
      <c r="AB10" s="11" t="n">
        <f aca="false">IF(D10="","",LEN(D10))</f>
        <v>65</v>
      </c>
      <c r="AC10" s="11" t="str">
        <f aca="false">IF(E10="","",LEN(E10))</f>
        <v/>
      </c>
      <c r="AD10" s="11" t="s">
        <v>46</v>
      </c>
    </row>
    <row r="11" customFormat="false" ht="27.75" hidden="false" customHeight="true" outlineLevel="0" collapsed="false">
      <c r="A11" s="11" t="s">
        <v>63</v>
      </c>
      <c r="B11" s="11" t="s">
        <v>279</v>
      </c>
      <c r="C11" s="11" t="s">
        <v>375</v>
      </c>
      <c r="D11" s="11" t="s">
        <v>376</v>
      </c>
      <c r="E11" s="12"/>
      <c r="F11" s="11" t="s">
        <v>377</v>
      </c>
      <c r="G11" s="12"/>
      <c r="H11" s="12"/>
      <c r="I11" s="12"/>
      <c r="J11" s="12"/>
      <c r="K11" s="12"/>
      <c r="L11" s="12"/>
      <c r="M11" s="12"/>
      <c r="N11" s="12"/>
      <c r="O11" s="12"/>
      <c r="P11" s="12"/>
      <c r="Q11" s="12"/>
      <c r="R11" s="12"/>
      <c r="S11" s="12"/>
      <c r="T11" s="12"/>
      <c r="U11" s="12"/>
      <c r="V11" s="12"/>
      <c r="W11" s="12"/>
      <c r="X11" s="12"/>
      <c r="Y11" s="12"/>
      <c r="Z11" s="12"/>
      <c r="AA11" s="11" t="str">
        <f aca="false">IF(G11="","",LEN(TRIM(G11))-LEN(SUBSTITUTE(TRIM(G11)," ",""))+1)</f>
        <v/>
      </c>
      <c r="AB11" s="11" t="n">
        <f aca="false">IF(D11="","",LEN(D11))</f>
        <v>58</v>
      </c>
      <c r="AC11" s="11" t="str">
        <f aca="false">IF(E11="","",LEN(E11))</f>
        <v/>
      </c>
      <c r="AD11" s="11" t="s">
        <v>46</v>
      </c>
    </row>
    <row r="12" customFormat="false" ht="27.75" hidden="false" customHeight="true" outlineLevel="0" collapsed="false">
      <c r="A12" s="11" t="s">
        <v>69</v>
      </c>
      <c r="B12" s="11" t="s">
        <v>77</v>
      </c>
      <c r="C12" s="11" t="s">
        <v>378</v>
      </c>
      <c r="D12" s="11" t="s">
        <v>379</v>
      </c>
      <c r="E12" s="12"/>
      <c r="F12" s="11" t="s">
        <v>380</v>
      </c>
      <c r="G12" s="12"/>
      <c r="H12" s="12"/>
      <c r="I12" s="12"/>
      <c r="J12" s="12"/>
      <c r="K12" s="12"/>
      <c r="L12" s="12"/>
      <c r="M12" s="12"/>
      <c r="N12" s="12"/>
      <c r="O12" s="12"/>
      <c r="P12" s="12"/>
      <c r="Q12" s="12"/>
      <c r="R12" s="12"/>
      <c r="S12" s="12"/>
      <c r="T12" s="12"/>
      <c r="U12" s="12"/>
      <c r="V12" s="12"/>
      <c r="W12" s="12"/>
      <c r="X12" s="12"/>
      <c r="Y12" s="12"/>
      <c r="Z12" s="12"/>
      <c r="AA12" s="11" t="str">
        <f aca="false">IF(G12="","",LEN(TRIM(G12))-LEN(SUBSTITUTE(TRIM(G12)," ",""))+1)</f>
        <v/>
      </c>
      <c r="AB12" s="11" t="n">
        <f aca="false">IF(D12="","",LEN(D12))</f>
        <v>63</v>
      </c>
      <c r="AC12" s="11" t="str">
        <f aca="false">IF(E12="","",LEN(E12))</f>
        <v/>
      </c>
      <c r="AD12" s="11" t="s">
        <v>46</v>
      </c>
    </row>
    <row r="13" customFormat="false" ht="27.75" hidden="false" customHeight="true" outlineLevel="0" collapsed="false">
      <c r="A13" s="11" t="s">
        <v>69</v>
      </c>
      <c r="B13" s="11" t="s">
        <v>192</v>
      </c>
      <c r="C13" s="11" t="s">
        <v>381</v>
      </c>
      <c r="D13" s="11" t="s">
        <v>382</v>
      </c>
      <c r="E13" s="12"/>
      <c r="F13" s="11" t="s">
        <v>383</v>
      </c>
      <c r="G13" s="12"/>
      <c r="H13" s="12"/>
      <c r="I13" s="12"/>
      <c r="J13" s="12"/>
      <c r="K13" s="12"/>
      <c r="L13" s="12"/>
      <c r="M13" s="12"/>
      <c r="N13" s="12"/>
      <c r="O13" s="12"/>
      <c r="P13" s="12"/>
      <c r="Q13" s="12"/>
      <c r="R13" s="12"/>
      <c r="S13" s="12"/>
      <c r="T13" s="12"/>
      <c r="U13" s="12"/>
      <c r="V13" s="12"/>
      <c r="W13" s="12"/>
      <c r="X13" s="12"/>
      <c r="Y13" s="12"/>
      <c r="Z13" s="12"/>
      <c r="AA13" s="11" t="str">
        <f aca="false">IF(G13="","",LEN(TRIM(G13))-LEN(SUBSTITUTE(TRIM(G13)," ",""))+1)</f>
        <v/>
      </c>
      <c r="AB13" s="11" t="n">
        <f aca="false">IF(D13="","",LEN(D13))</f>
        <v>63</v>
      </c>
      <c r="AC13" s="11" t="str">
        <f aca="false">IF(E13="","",LEN(E13))</f>
        <v/>
      </c>
      <c r="AD13" s="11" t="s">
        <v>46</v>
      </c>
    </row>
    <row r="14" customFormat="false" ht="27.75" hidden="false" customHeight="true" outlineLevel="0" collapsed="false">
      <c r="A14" s="11" t="s">
        <v>69</v>
      </c>
      <c r="B14" s="11" t="s">
        <v>240</v>
      </c>
      <c r="C14" s="11" t="s">
        <v>384</v>
      </c>
      <c r="D14" s="11" t="s">
        <v>385</v>
      </c>
      <c r="E14" s="12"/>
      <c r="F14" s="11" t="s">
        <v>386</v>
      </c>
      <c r="G14" s="12"/>
      <c r="H14" s="12"/>
      <c r="I14" s="12"/>
      <c r="J14" s="12"/>
      <c r="K14" s="12"/>
      <c r="L14" s="12"/>
      <c r="M14" s="12"/>
      <c r="N14" s="12"/>
      <c r="O14" s="12"/>
      <c r="P14" s="12"/>
      <c r="Q14" s="12"/>
      <c r="R14" s="12"/>
      <c r="S14" s="12"/>
      <c r="T14" s="12"/>
      <c r="U14" s="12"/>
      <c r="V14" s="12"/>
      <c r="W14" s="12"/>
      <c r="X14" s="12"/>
      <c r="Y14" s="12"/>
      <c r="Z14" s="12"/>
      <c r="AA14" s="11" t="str">
        <f aca="false">IF(G14="","",LEN(TRIM(G14))-LEN(SUBSTITUTE(TRIM(G14)," ",""))+1)</f>
        <v/>
      </c>
      <c r="AB14" s="11" t="n">
        <f aca="false">IF(D14="","",LEN(D14))</f>
        <v>52</v>
      </c>
      <c r="AC14" s="11" t="str">
        <f aca="false">IF(E14="","",LEN(E14))</f>
        <v/>
      </c>
      <c r="AD14" s="11" t="s">
        <v>46</v>
      </c>
    </row>
    <row r="15" customFormat="false" ht="27.75" hidden="false" customHeight="true" outlineLevel="0" collapsed="false">
      <c r="A15" s="11" t="s">
        <v>69</v>
      </c>
      <c r="B15" s="11" t="s">
        <v>279</v>
      </c>
      <c r="C15" s="11" t="s">
        <v>387</v>
      </c>
      <c r="D15" s="11" t="s">
        <v>388</v>
      </c>
      <c r="E15" s="12"/>
      <c r="F15" s="11" t="s">
        <v>389</v>
      </c>
      <c r="G15" s="12"/>
      <c r="H15" s="12"/>
      <c r="I15" s="12"/>
      <c r="J15" s="12"/>
      <c r="K15" s="12"/>
      <c r="L15" s="12"/>
      <c r="M15" s="12"/>
      <c r="N15" s="12"/>
      <c r="O15" s="12"/>
      <c r="P15" s="12"/>
      <c r="Q15" s="12"/>
      <c r="R15" s="12"/>
      <c r="S15" s="12"/>
      <c r="T15" s="12"/>
      <c r="U15" s="12"/>
      <c r="V15" s="12"/>
      <c r="W15" s="12"/>
      <c r="X15" s="12"/>
      <c r="Y15" s="12"/>
      <c r="Z15" s="12"/>
      <c r="AA15" s="11" t="str">
        <f aca="false">IF(G15="","",LEN(TRIM(G15))-LEN(SUBSTITUTE(TRIM(G15)," ",""))+1)</f>
        <v/>
      </c>
      <c r="AB15" s="11" t="n">
        <f aca="false">IF(D15="","",LEN(D15))</f>
        <v>56</v>
      </c>
      <c r="AC15" s="11" t="str">
        <f aca="false">IF(E15="","",LEN(E15))</f>
        <v/>
      </c>
      <c r="AD15" s="11" t="s">
        <v>46</v>
      </c>
    </row>
    <row r="16" customFormat="false" ht="15" hidden="false" customHeight="false" outlineLevel="0" collapsed="false">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1" t="str">
        <f aca="false">IF(G16="","",LEN(TRIM(G16))-LEN(SUBSTITUTE(TRIM(G16)," ",""))+1)</f>
        <v/>
      </c>
      <c r="AB16" s="11" t="str">
        <f aca="false">IF(D16="","",LEN(D16))</f>
        <v/>
      </c>
      <c r="AC16" s="11" t="str">
        <f aca="false">IF(E16="","",LEN(E16))</f>
        <v/>
      </c>
      <c r="AD16" s="12"/>
    </row>
    <row r="17" customFormat="false" ht="15" hidden="false" customHeight="false" outlineLevel="0" collapsed="false">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1" t="str">
        <f aca="false">IF(G17="","",LEN(TRIM(G17))-LEN(SUBSTITUTE(TRIM(G17)," ",""))+1)</f>
        <v/>
      </c>
      <c r="AB17" s="11" t="str">
        <f aca="false">IF(D17="","",LEN(D17))</f>
        <v/>
      </c>
      <c r="AC17" s="11" t="str">
        <f aca="false">IF(E17="","",LEN(E17))</f>
        <v/>
      </c>
      <c r="AD17" s="12"/>
    </row>
    <row r="18" customFormat="false" ht="15" hidden="false" customHeight="false" outlineLevel="0" collapsed="false">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1" t="str">
        <f aca="false">IF(G18="","",LEN(TRIM(G18))-LEN(SUBSTITUTE(TRIM(G18)," ",""))+1)</f>
        <v/>
      </c>
      <c r="AB18" s="11" t="str">
        <f aca="false">IF(D18="","",LEN(D18))</f>
        <v/>
      </c>
      <c r="AC18" s="11" t="str">
        <f aca="false">IF(E18="","",LEN(E18))</f>
        <v/>
      </c>
      <c r="AD18" s="12"/>
    </row>
    <row r="19" customFormat="false" ht="15" hidden="false" customHeight="false" outlineLevel="0" collapsed="false">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1" t="str">
        <f aca="false">IF(G19="","",LEN(TRIM(G19))-LEN(SUBSTITUTE(TRIM(G19)," ",""))+1)</f>
        <v/>
      </c>
      <c r="AB19" s="11" t="str">
        <f aca="false">IF(D19="","",LEN(D19))</f>
        <v/>
      </c>
      <c r="AC19" s="11" t="str">
        <f aca="false">IF(E19="","",LEN(E19))</f>
        <v/>
      </c>
      <c r="AD19" s="12"/>
    </row>
    <row r="20" customFormat="false" ht="15" hidden="false" customHeight="false" outlineLevel="0" collapsed="false">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1" t="str">
        <f aca="false">IF(G20="","",LEN(TRIM(G20))-LEN(SUBSTITUTE(TRIM(G20)," ",""))+1)</f>
        <v/>
      </c>
      <c r="AB20" s="11" t="str">
        <f aca="false">IF(D20="","",LEN(D20))</f>
        <v/>
      </c>
      <c r="AC20" s="11" t="str">
        <f aca="false">IF(E20="","",LEN(E20))</f>
        <v/>
      </c>
      <c r="AD20" s="12"/>
    </row>
    <row r="21" customFormat="false" ht="15" hidden="false" customHeight="false" outlineLevel="0" collapsed="false">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1" t="str">
        <f aca="false">IF(G21="","",LEN(TRIM(G21))-LEN(SUBSTITUTE(TRIM(G21)," ",""))+1)</f>
        <v/>
      </c>
      <c r="AB21" s="11" t="str">
        <f aca="false">IF(D21="","",LEN(D21))</f>
        <v/>
      </c>
      <c r="AC21" s="11" t="str">
        <f aca="false">IF(E21="","",LEN(E21))</f>
        <v/>
      </c>
      <c r="AD21" s="12"/>
    </row>
    <row r="22" customFormat="false" ht="15" hidden="false" customHeight="false" outlineLevel="0" collapsed="false">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1" t="str">
        <f aca="false">IF(G22="","",LEN(TRIM(G22))-LEN(SUBSTITUTE(TRIM(G22)," ",""))+1)</f>
        <v/>
      </c>
      <c r="AB22" s="11" t="str">
        <f aca="false">IF(D22="","",LEN(D22))</f>
        <v/>
      </c>
      <c r="AC22" s="11" t="str">
        <f aca="false">IF(E22="","",LEN(E22))</f>
        <v/>
      </c>
      <c r="AD22" s="12"/>
    </row>
    <row r="23" customFormat="false" ht="15" hidden="false" customHeight="false" outlineLevel="0" collapsed="false">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1" t="str">
        <f aca="false">IF(G23="","",LEN(TRIM(G23))-LEN(SUBSTITUTE(TRIM(G23)," ",""))+1)</f>
        <v/>
      </c>
      <c r="AB23" s="11" t="str">
        <f aca="false">IF(D23="","",LEN(D23))</f>
        <v/>
      </c>
      <c r="AC23" s="11" t="str">
        <f aca="false">IF(E23="","",LEN(E23))</f>
        <v/>
      </c>
      <c r="AD23" s="12"/>
    </row>
    <row r="24" customFormat="false" ht="15" hidden="false" customHeight="false" outlineLevel="0" collapsed="false">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1" t="str">
        <f aca="false">IF(G24="","",LEN(TRIM(G24))-LEN(SUBSTITUTE(TRIM(G24)," ",""))+1)</f>
        <v/>
      </c>
      <c r="AB24" s="11" t="str">
        <f aca="false">IF(D24="","",LEN(D24))</f>
        <v/>
      </c>
      <c r="AC24" s="11" t="str">
        <f aca="false">IF(E24="","",LEN(E24))</f>
        <v/>
      </c>
      <c r="AD24" s="12"/>
    </row>
    <row r="25" customFormat="false" ht="15" hidden="false" customHeight="false" outlineLevel="0" collapsed="false">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1" t="str">
        <f aca="false">IF(G25="","",LEN(TRIM(G25))-LEN(SUBSTITUTE(TRIM(G25)," ",""))+1)</f>
        <v/>
      </c>
      <c r="AB25" s="11" t="str">
        <f aca="false">IF(D25="","",LEN(D25))</f>
        <v/>
      </c>
      <c r="AC25" s="11" t="str">
        <f aca="false">IF(E25="","",LEN(E25))</f>
        <v/>
      </c>
      <c r="AD25" s="12"/>
    </row>
    <row r="26" customFormat="false" ht="15" hidden="false" customHeight="false" outlineLevel="0" collapsed="false">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1" t="str">
        <f aca="false">IF(G26="","",LEN(TRIM(G26))-LEN(SUBSTITUTE(TRIM(G26)," ",""))+1)</f>
        <v/>
      </c>
      <c r="AB26" s="11" t="str">
        <f aca="false">IF(D26="","",LEN(D26))</f>
        <v/>
      </c>
      <c r="AC26" s="11" t="str">
        <f aca="false">IF(E26="","",LEN(E26))</f>
        <v/>
      </c>
      <c r="AD26" s="12"/>
    </row>
    <row r="27" customFormat="false" ht="15" hidden="false" customHeight="false" outlineLevel="0" collapsed="false">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1" t="str">
        <f aca="false">IF(G27="","",LEN(TRIM(G27))-LEN(SUBSTITUTE(TRIM(G27)," ",""))+1)</f>
        <v/>
      </c>
      <c r="AB27" s="11" t="str">
        <f aca="false">IF(D27="","",LEN(D27))</f>
        <v/>
      </c>
      <c r="AC27" s="11" t="str">
        <f aca="false">IF(E27="","",LEN(E27))</f>
        <v/>
      </c>
      <c r="AD27" s="12"/>
    </row>
    <row r="28" customFormat="false" ht="15" hidden="false" customHeight="false" outlineLevel="0" collapsed="false">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1" t="str">
        <f aca="false">IF(G28="","",LEN(TRIM(G28))-LEN(SUBSTITUTE(TRIM(G28)," ",""))+1)</f>
        <v/>
      </c>
      <c r="AB28" s="11" t="str">
        <f aca="false">IF(D28="","",LEN(D28))</f>
        <v/>
      </c>
      <c r="AC28" s="11" t="str">
        <f aca="false">IF(E28="","",LEN(E28))</f>
        <v/>
      </c>
      <c r="AD28" s="12"/>
    </row>
    <row r="29" customFormat="false" ht="15" hidden="false" customHeight="false" outlineLevel="0" collapsed="false">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1" t="str">
        <f aca="false">IF(G29="","",LEN(TRIM(G29))-LEN(SUBSTITUTE(TRIM(G29)," ",""))+1)</f>
        <v/>
      </c>
      <c r="AB29" s="11" t="str">
        <f aca="false">IF(D29="","",LEN(D29))</f>
        <v/>
      </c>
      <c r="AC29" s="11" t="str">
        <f aca="false">IF(E29="","",LEN(E29))</f>
        <v/>
      </c>
      <c r="AD29" s="12"/>
    </row>
    <row r="30" customFormat="false" ht="15" hidden="false" customHeight="false" outlineLevel="0" collapsed="false">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1" t="str">
        <f aca="false">IF(G30="","",LEN(TRIM(G30))-LEN(SUBSTITUTE(TRIM(G30)," ",""))+1)</f>
        <v/>
      </c>
      <c r="AB30" s="11" t="str">
        <f aca="false">IF(D30="","",LEN(D30))</f>
        <v/>
      </c>
      <c r="AC30" s="11" t="str">
        <f aca="false">IF(E30="","",LEN(E30))</f>
        <v/>
      </c>
      <c r="AD30" s="12"/>
    </row>
    <row r="31" customFormat="false" ht="15" hidden="false" customHeight="false" outlineLevel="0" collapsed="false">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1" t="str">
        <f aca="false">IF(G31="","",LEN(TRIM(G31))-LEN(SUBSTITUTE(TRIM(G31)," ",""))+1)</f>
        <v/>
      </c>
      <c r="AB31" s="11" t="str">
        <f aca="false">IF(D31="","",LEN(D31))</f>
        <v/>
      </c>
      <c r="AC31" s="11" t="str">
        <f aca="false">IF(E31="","",LEN(E31))</f>
        <v/>
      </c>
      <c r="AD31" s="12"/>
    </row>
    <row r="32" customFormat="false" ht="15" hidden="false" customHeight="false" outlineLevel="0" collapsed="false">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1" t="str">
        <f aca="false">IF(G32="","",LEN(TRIM(G32))-LEN(SUBSTITUTE(TRIM(G32)," ",""))+1)</f>
        <v/>
      </c>
      <c r="AB32" s="11" t="str">
        <f aca="false">IF(D32="","",LEN(D32))</f>
        <v/>
      </c>
      <c r="AC32" s="11" t="str">
        <f aca="false">IF(E32="","",LEN(E32))</f>
        <v/>
      </c>
      <c r="AD32" s="12"/>
    </row>
    <row r="33" customFormat="false" ht="15" hidden="false" customHeight="false" outlineLevel="0" collapsed="false">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1" t="str">
        <f aca="false">IF(G33="","",LEN(TRIM(G33))-LEN(SUBSTITUTE(TRIM(G33)," ",""))+1)</f>
        <v/>
      </c>
      <c r="AB33" s="11" t="str">
        <f aca="false">IF(D33="","",LEN(D33))</f>
        <v/>
      </c>
      <c r="AC33" s="11" t="str">
        <f aca="false">IF(E33="","",LEN(E33))</f>
        <v/>
      </c>
      <c r="AD33" s="12"/>
    </row>
    <row r="34" customFormat="false" ht="15" hidden="false" customHeight="false" outlineLevel="0" collapsed="false">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1" t="str">
        <f aca="false">IF(G34="","",LEN(TRIM(G34))-LEN(SUBSTITUTE(TRIM(G34)," ",""))+1)</f>
        <v/>
      </c>
      <c r="AB34" s="11" t="str">
        <f aca="false">IF(D34="","",LEN(D34))</f>
        <v/>
      </c>
      <c r="AC34" s="11" t="str">
        <f aca="false">IF(E34="","",LEN(E34))</f>
        <v/>
      </c>
      <c r="AD34" s="12"/>
    </row>
    <row r="35" customFormat="false" ht="15" hidden="false" customHeight="false" outlineLevel="0" collapsed="false">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1" t="str">
        <f aca="false">IF(G35="","",LEN(TRIM(G35))-LEN(SUBSTITUTE(TRIM(G35)," ",""))+1)</f>
        <v/>
      </c>
      <c r="AB35" s="11" t="str">
        <f aca="false">IF(D35="","",LEN(D35))</f>
        <v/>
      </c>
      <c r="AC35" s="11" t="str">
        <f aca="false">IF(E35="","",LEN(E35))</f>
        <v/>
      </c>
      <c r="AD35" s="12"/>
    </row>
    <row r="36" customFormat="false" ht="15" hidden="false" customHeight="false" outlineLevel="0" collapsed="false">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1" t="str">
        <f aca="false">IF(G36="","",LEN(TRIM(G36))-LEN(SUBSTITUTE(TRIM(G36)," ",""))+1)</f>
        <v/>
      </c>
      <c r="AB36" s="11" t="str">
        <f aca="false">IF(D36="","",LEN(D36))</f>
        <v/>
      </c>
      <c r="AC36" s="11" t="str">
        <f aca="false">IF(E36="","",LEN(E36))</f>
        <v/>
      </c>
      <c r="AD36" s="12"/>
    </row>
    <row r="37" customFormat="false" ht="15" hidden="false" customHeight="false" outlineLevel="0" collapsed="false">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1" t="str">
        <f aca="false">IF(G37="","",LEN(TRIM(G37))-LEN(SUBSTITUTE(TRIM(G37)," ",""))+1)</f>
        <v/>
      </c>
      <c r="AB37" s="11" t="str">
        <f aca="false">IF(D37="","",LEN(D37))</f>
        <v/>
      </c>
      <c r="AC37" s="11" t="str">
        <f aca="false">IF(E37="","",LEN(E37))</f>
        <v/>
      </c>
      <c r="AD37" s="12"/>
    </row>
    <row r="38" customFormat="false" ht="15" hidden="false" customHeight="false" outlineLevel="0" collapsed="false">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1" t="str">
        <f aca="false">IF(G38="","",LEN(TRIM(G38))-LEN(SUBSTITUTE(TRIM(G38)," ",""))+1)</f>
        <v/>
      </c>
      <c r="AB38" s="11" t="str">
        <f aca="false">IF(D38="","",LEN(D38))</f>
        <v/>
      </c>
      <c r="AC38" s="11" t="str">
        <f aca="false">IF(E38="","",LEN(E38))</f>
        <v/>
      </c>
      <c r="AD38" s="12"/>
    </row>
    <row r="39" customFormat="false" ht="15" hidden="false" customHeight="false" outlineLevel="0" collapsed="false">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1" t="str">
        <f aca="false">IF(G39="","",LEN(TRIM(G39))-LEN(SUBSTITUTE(TRIM(G39)," ",""))+1)</f>
        <v/>
      </c>
      <c r="AB39" s="11" t="str">
        <f aca="false">IF(D39="","",LEN(D39))</f>
        <v/>
      </c>
      <c r="AC39" s="11" t="str">
        <f aca="false">IF(E39="","",LEN(E39))</f>
        <v/>
      </c>
      <c r="AD39" s="12"/>
    </row>
  </sheetData>
  <autoFilter ref="A1:AD39"/>
  <dataValidations count="3">
    <dataValidation allowBlank="true" error="Pick a value from the list" errorStyle="stop" errorTitle="Invalid value" operator="between" showDropDown="false" showErrorMessage="false" showInputMessage="false" sqref="A3:A39" type="list">
      <formula1>"rPET,rWood,Booths,Textile (Interior/Solid/Divide),General"</formula1>
      <formula2>0</formula2>
    </dataValidation>
    <dataValidation allowBlank="true" error="Pick a value from the list" errorStyle="stop" errorTitle="Invalid value" operator="between" showDropDown="false" showErrorMessage="false" showInputMessage="false" sqref="B3:B39" type="list">
      <formula1>"en,nl,fr,de,es,pt,da,sv,no,is"</formula1>
      <formula2>0</formula2>
    </dataValidation>
    <dataValidation allowBlank="true" error="Pick a value from the list" errorStyle="stop" errorTitle="Invalid value" operator="between" showDropDown="false" showErrorMessage="false" showInputMessage="false" sqref="AD3:AD39" type="list">
      <formula1>"Backlog,Briefed,Drafting,Review,Translation,Ready for dev,Live,On hold"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4" activeCellId="0" sqref="A4"/>
    </sheetView>
  </sheetViews>
  <sheetFormatPr defaultColWidth="8.6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16"/>
    <col collapsed="false" customWidth="true" hidden="false" outlineLevel="0" max="4" min="4" style="0" width="24"/>
    <col collapsed="false" customWidth="true" hidden="false" outlineLevel="0" max="5" min="5" style="0" width="12"/>
    <col collapsed="false" customWidth="true" hidden="false" outlineLevel="0" max="6" min="6" style="0" width="11"/>
    <col collapsed="false" customWidth="true" hidden="false" outlineLevel="0" max="8" min="7" style="0" width="10"/>
    <col collapsed="false" customWidth="true" hidden="false" outlineLevel="0" max="11" min="9" style="0" width="9"/>
    <col collapsed="false" customWidth="true" hidden="false" outlineLevel="0" max="13" min="12" style="0" width="12"/>
    <col collapsed="false" customWidth="true" hidden="false" outlineLevel="0" max="14" min="14" style="0" width="18"/>
    <col collapsed="false" customWidth="true" hidden="false" outlineLevel="0" max="15" min="15" style="0" width="10"/>
    <col collapsed="false" customWidth="true" hidden="false" outlineLevel="0" max="16" min="16" style="0" width="18"/>
    <col collapsed="false" customWidth="true" hidden="false" outlineLevel="0" max="17" min="17" style="0" width="12"/>
    <col collapsed="false" customWidth="true" hidden="false" outlineLevel="0" max="19" min="18" style="0" width="9"/>
    <col collapsed="false" customWidth="true" hidden="false" outlineLevel="0" max="20" min="20" style="0" width="18"/>
    <col collapsed="false" customWidth="true" hidden="false" outlineLevel="0" max="21" min="21" style="0" width="8"/>
    <col collapsed="false" customWidth="true" hidden="false" outlineLevel="0" max="22" min="22" style="0" width="14"/>
    <col collapsed="false" customWidth="true" hidden="false" outlineLevel="0" max="23" min="23" style="0" width="10"/>
    <col collapsed="false" customWidth="true" hidden="false" outlineLevel="0" max="24" min="24" style="0" width="14"/>
    <col collapsed="false" customWidth="true" hidden="false" outlineLevel="0" max="25" min="25" style="0" width="9"/>
    <col collapsed="false" customWidth="true" hidden="false" outlineLevel="0" max="26" min="26" style="0" width="26"/>
    <col collapsed="false" customWidth="true" hidden="false" outlineLevel="0" max="27" min="27" style="0" width="8"/>
    <col collapsed="false" customWidth="true" hidden="false" outlineLevel="0" max="28" min="28" style="0" width="26"/>
    <col collapsed="false" customWidth="true" hidden="false" outlineLevel="0" max="34" min="29" style="0" width="34"/>
    <col collapsed="false" customWidth="true" hidden="false" outlineLevel="0" max="35" min="35" style="0" width="12"/>
    <col collapsed="false" customWidth="true" hidden="false" outlineLevel="0" max="36" min="36" style="0" width="30"/>
    <col collapsed="false" customWidth="true" hidden="false" outlineLevel="0" max="37" min="37" style="0" width="34"/>
    <col collapsed="false" customWidth="true" hidden="false" outlineLevel="0" max="38" min="38" style="0" width="12"/>
    <col collapsed="false" customWidth="true" hidden="false" outlineLevel="0" max="39" min="39" style="0" width="40"/>
  </cols>
  <sheetData>
    <row r="1" customFormat="false" ht="31.5" hidden="false" customHeight="true" outlineLevel="0" collapsed="false">
      <c r="A1" s="4" t="s">
        <v>390</v>
      </c>
      <c r="B1" s="4" t="s">
        <v>20</v>
      </c>
      <c r="C1" s="4" t="s">
        <v>391</v>
      </c>
      <c r="D1" s="4" t="s">
        <v>392</v>
      </c>
      <c r="E1" s="4" t="s">
        <v>393</v>
      </c>
      <c r="F1" s="4" t="s">
        <v>394</v>
      </c>
      <c r="G1" s="4" t="s">
        <v>395</v>
      </c>
      <c r="H1" s="4" t="s">
        <v>396</v>
      </c>
      <c r="I1" s="4" t="s">
        <v>397</v>
      </c>
      <c r="J1" s="4" t="s">
        <v>398</v>
      </c>
      <c r="K1" s="4" t="s">
        <v>399</v>
      </c>
      <c r="L1" s="4" t="s">
        <v>400</v>
      </c>
      <c r="M1" s="4" t="s">
        <v>401</v>
      </c>
      <c r="N1" s="4" t="s">
        <v>402</v>
      </c>
      <c r="O1" s="4" t="s">
        <v>403</v>
      </c>
      <c r="P1" s="4" t="s">
        <v>404</v>
      </c>
      <c r="Q1" s="4" t="s">
        <v>405</v>
      </c>
      <c r="R1" s="4" t="s">
        <v>406</v>
      </c>
      <c r="S1" s="4" t="s">
        <v>407</v>
      </c>
      <c r="T1" s="4" t="s">
        <v>408</v>
      </c>
      <c r="U1" s="4" t="s">
        <v>409</v>
      </c>
      <c r="V1" s="4" t="s">
        <v>410</v>
      </c>
      <c r="W1" s="4" t="s">
        <v>411</v>
      </c>
      <c r="X1" s="4" t="s">
        <v>412</v>
      </c>
      <c r="Y1" s="4" t="s">
        <v>413</v>
      </c>
      <c r="Z1" s="4" t="s">
        <v>414</v>
      </c>
      <c r="AA1" s="4" t="s">
        <v>415</v>
      </c>
      <c r="AB1" s="4" t="s">
        <v>416</v>
      </c>
      <c r="AC1" s="4" t="s">
        <v>417</v>
      </c>
      <c r="AD1" s="4" t="s">
        <v>418</v>
      </c>
      <c r="AE1" s="4" t="s">
        <v>419</v>
      </c>
      <c r="AF1" s="4" t="s">
        <v>420</v>
      </c>
      <c r="AG1" s="4" t="s">
        <v>421</v>
      </c>
      <c r="AH1" s="4" t="s">
        <v>422</v>
      </c>
      <c r="AI1" s="4" t="s">
        <v>423</v>
      </c>
      <c r="AJ1" s="4" t="s">
        <v>424</v>
      </c>
      <c r="AK1" s="4" t="s">
        <v>425</v>
      </c>
      <c r="AL1" s="4" t="s">
        <v>27</v>
      </c>
      <c r="AM1" s="4" t="s">
        <v>426</v>
      </c>
    </row>
    <row r="2" customFormat="false" ht="63.75" hidden="false" customHeight="true" outlineLevel="0" collapsed="false">
      <c r="A2" s="7" t="s">
        <v>427</v>
      </c>
      <c r="B2" s="7" t="s">
        <v>182</v>
      </c>
      <c r="C2" s="7" t="s">
        <v>428</v>
      </c>
      <c r="D2" s="7" t="s">
        <v>429</v>
      </c>
      <c r="E2" s="7" t="s">
        <v>430</v>
      </c>
      <c r="F2" s="7" t="s">
        <v>431</v>
      </c>
      <c r="G2" s="7" t="s">
        <v>432</v>
      </c>
      <c r="H2" s="7" t="s">
        <v>433</v>
      </c>
      <c r="I2" s="7" t="s">
        <v>434</v>
      </c>
      <c r="J2" s="7" t="s">
        <v>435</v>
      </c>
      <c r="K2" s="7" t="s">
        <v>436</v>
      </c>
      <c r="L2" s="7" t="s">
        <v>437</v>
      </c>
      <c r="M2" s="7" t="s">
        <v>438</v>
      </c>
      <c r="N2" s="7" t="s">
        <v>439</v>
      </c>
      <c r="O2" s="7" t="s">
        <v>440</v>
      </c>
      <c r="P2" s="7" t="s">
        <v>441</v>
      </c>
      <c r="Q2" s="7" t="s">
        <v>442</v>
      </c>
      <c r="R2" s="7" t="s">
        <v>443</v>
      </c>
      <c r="S2" s="7" t="s">
        <v>444</v>
      </c>
      <c r="T2" s="7" t="s">
        <v>445</v>
      </c>
      <c r="U2" s="7" t="s">
        <v>446</v>
      </c>
      <c r="V2" s="7" t="s">
        <v>447</v>
      </c>
      <c r="W2" s="7" t="s">
        <v>336</v>
      </c>
      <c r="X2" s="7" t="s">
        <v>448</v>
      </c>
      <c r="Y2" s="7" t="s">
        <v>449</v>
      </c>
      <c r="Z2" s="7" t="s">
        <v>450</v>
      </c>
      <c r="AA2" s="7" t="s">
        <v>451</v>
      </c>
      <c r="AB2" s="7" t="s">
        <v>452</v>
      </c>
      <c r="AC2" s="7" t="s">
        <v>453</v>
      </c>
      <c r="AD2" s="7"/>
      <c r="AE2" s="7"/>
      <c r="AF2" s="7"/>
      <c r="AG2" s="7"/>
      <c r="AH2" s="7"/>
      <c r="AI2" s="7"/>
      <c r="AJ2" s="7" t="s">
        <v>454</v>
      </c>
      <c r="AK2" s="7" t="s">
        <v>455</v>
      </c>
      <c r="AL2" s="7" t="s">
        <v>182</v>
      </c>
      <c r="AM2" s="7"/>
    </row>
    <row r="3" customFormat="false" ht="48" hidden="false" customHeight="true" outlineLevel="0" collapsed="false">
      <c r="A3" s="10" t="s">
        <v>456</v>
      </c>
      <c r="B3" s="10" t="s">
        <v>50</v>
      </c>
      <c r="C3" s="10" t="s">
        <v>457</v>
      </c>
      <c r="D3" s="10" t="s">
        <v>458</v>
      </c>
      <c r="E3" s="10" t="n">
        <v>89</v>
      </c>
      <c r="F3" s="10" t="s">
        <v>459</v>
      </c>
      <c r="G3" s="10" t="s">
        <v>460</v>
      </c>
      <c r="H3" s="10" t="n">
        <v>100</v>
      </c>
      <c r="I3" s="10" t="n">
        <v>0.85</v>
      </c>
      <c r="J3" s="10" t="n">
        <v>0.85</v>
      </c>
      <c r="K3" s="10" t="s">
        <v>461</v>
      </c>
      <c r="L3" s="10" t="s">
        <v>462</v>
      </c>
      <c r="M3" s="10" t="s">
        <v>438</v>
      </c>
      <c r="N3" s="10" t="s">
        <v>463</v>
      </c>
      <c r="O3" s="10" t="n">
        <v>12</v>
      </c>
      <c r="P3" s="10" t="s">
        <v>464</v>
      </c>
      <c r="Q3" s="10" t="s">
        <v>465</v>
      </c>
      <c r="R3" s="10"/>
      <c r="S3" s="10"/>
      <c r="T3" s="10"/>
      <c r="U3" s="10"/>
      <c r="V3" s="10"/>
      <c r="W3" s="11" t="str">
        <f aca="false">IF(V3="","",IF(V3&gt;=33,"A+",IF(V3&gt;=30,"A",IF(V3&gt;=27,"B",IF(V3&gt;=24,"C",IF(V3&gt;=21,"D","below D"))))))</f>
        <v/>
      </c>
      <c r="X3" s="10"/>
      <c r="Y3" s="10"/>
      <c r="Z3" s="10" t="s">
        <v>466</v>
      </c>
      <c r="AA3" s="10" t="s">
        <v>467</v>
      </c>
      <c r="AB3" s="10" t="s">
        <v>468</v>
      </c>
      <c r="AC3" s="10" t="s">
        <v>469</v>
      </c>
      <c r="AD3" s="10" t="s">
        <v>470</v>
      </c>
      <c r="AE3" s="10" t="s">
        <v>471</v>
      </c>
      <c r="AF3" s="10" t="s">
        <v>472</v>
      </c>
      <c r="AG3" s="10" t="s">
        <v>473</v>
      </c>
      <c r="AH3" s="10" t="s">
        <v>474</v>
      </c>
      <c r="AI3" s="10" t="s">
        <v>475</v>
      </c>
      <c r="AJ3" s="10" t="s">
        <v>476</v>
      </c>
      <c r="AK3" s="10" t="s">
        <v>477</v>
      </c>
      <c r="AL3" s="10" t="s">
        <v>56</v>
      </c>
      <c r="AM3" s="10" t="s">
        <v>478</v>
      </c>
    </row>
    <row r="4" customFormat="false" ht="120" hidden="false" customHeight="true" outlineLevel="0" collapsed="false">
      <c r="A4" s="11" t="s">
        <v>479</v>
      </c>
      <c r="B4" s="11" t="s">
        <v>480</v>
      </c>
      <c r="C4" s="11" t="s">
        <v>481</v>
      </c>
      <c r="D4" s="11" t="s">
        <v>482</v>
      </c>
      <c r="E4" s="11" t="n">
        <v>387</v>
      </c>
      <c r="F4" s="11" t="s">
        <v>483</v>
      </c>
      <c r="G4" s="12" t="s">
        <v>484</v>
      </c>
      <c r="H4" s="12"/>
      <c r="I4" s="11" t="n">
        <v>1</v>
      </c>
      <c r="J4" s="12"/>
      <c r="K4" s="11" t="s">
        <v>485</v>
      </c>
      <c r="L4" s="12"/>
      <c r="M4" s="12"/>
      <c r="N4" s="12"/>
      <c r="O4" s="12"/>
      <c r="P4" s="12"/>
      <c r="Q4" s="12"/>
      <c r="R4" s="12"/>
      <c r="S4" s="12"/>
      <c r="T4" s="12"/>
      <c r="U4" s="12"/>
      <c r="V4" s="12"/>
      <c r="W4" s="11" t="str">
        <f aca="false">IF(V4="","",IF(V4&gt;=33,"A+",IF(V4&gt;=30,"A",IF(V4&gt;=27,"B",IF(V4&gt;=24,"C",IF(V4&gt;=21,"D","below D"))))))</f>
        <v/>
      </c>
      <c r="X4" s="12"/>
      <c r="Y4" s="12"/>
      <c r="Z4" s="12"/>
      <c r="AA4" s="12"/>
      <c r="AB4" s="12"/>
      <c r="AC4" s="11" t="s">
        <v>486</v>
      </c>
      <c r="AD4" s="11" t="s">
        <v>487</v>
      </c>
      <c r="AE4" s="11" t="s">
        <v>488</v>
      </c>
      <c r="AF4" s="11" t="s">
        <v>489</v>
      </c>
      <c r="AG4" s="11" t="s">
        <v>490</v>
      </c>
      <c r="AH4" s="11" t="s">
        <v>491</v>
      </c>
      <c r="AI4" s="11" t="s">
        <v>475</v>
      </c>
      <c r="AJ4" s="12"/>
      <c r="AK4" s="12"/>
      <c r="AL4" s="11" t="s">
        <v>46</v>
      </c>
      <c r="AM4" s="11" t="s">
        <v>492</v>
      </c>
    </row>
    <row r="5" customFormat="false" ht="120" hidden="false" customHeight="true" outlineLevel="0" collapsed="false">
      <c r="A5" s="11" t="s">
        <v>493</v>
      </c>
      <c r="B5" s="11" t="s">
        <v>480</v>
      </c>
      <c r="C5" s="11" t="s">
        <v>494</v>
      </c>
      <c r="D5" s="11" t="s">
        <v>482</v>
      </c>
      <c r="E5" s="12"/>
      <c r="F5" s="12" t="s">
        <v>495</v>
      </c>
      <c r="G5" s="12" t="s">
        <v>484</v>
      </c>
      <c r="H5" s="12"/>
      <c r="I5" s="11" t="n">
        <v>1</v>
      </c>
      <c r="J5" s="12"/>
      <c r="K5" s="11" t="s">
        <v>485</v>
      </c>
      <c r="L5" s="12"/>
      <c r="M5" s="12"/>
      <c r="N5" s="11" t="s">
        <v>496</v>
      </c>
      <c r="O5" s="12"/>
      <c r="P5" s="11" t="s">
        <v>497</v>
      </c>
      <c r="Q5" s="12"/>
      <c r="R5" s="12"/>
      <c r="S5" s="12"/>
      <c r="T5" s="12"/>
      <c r="U5" s="12"/>
      <c r="V5" s="12"/>
      <c r="W5" s="11" t="str">
        <f aca="false">IF(V5="","",IF(V5&gt;=33,"A+",IF(V5&gt;=30,"A",IF(V5&gt;=27,"B",IF(V5&gt;=24,"C",IF(V5&gt;=21,"D","below D"))))))</f>
        <v/>
      </c>
      <c r="X5" s="12"/>
      <c r="Y5" s="12"/>
      <c r="Z5" s="12"/>
      <c r="AA5" s="12"/>
      <c r="AB5" s="12"/>
      <c r="AC5" s="11" t="s">
        <v>498</v>
      </c>
      <c r="AD5" s="11" t="s">
        <v>499</v>
      </c>
      <c r="AE5" s="11" t="s">
        <v>500</v>
      </c>
      <c r="AF5" s="11" t="s">
        <v>501</v>
      </c>
      <c r="AG5" s="11" t="s">
        <v>502</v>
      </c>
      <c r="AH5" s="11" t="s">
        <v>503</v>
      </c>
      <c r="AI5" s="11" t="s">
        <v>475</v>
      </c>
      <c r="AJ5" s="12"/>
      <c r="AK5" s="12"/>
      <c r="AL5" s="11" t="s">
        <v>46</v>
      </c>
      <c r="AM5" s="12"/>
    </row>
    <row r="6" customFormat="false" ht="120" hidden="false" customHeight="true" outlineLevel="0" collapsed="false">
      <c r="A6" s="11" t="s">
        <v>504</v>
      </c>
      <c r="B6" s="11" t="s">
        <v>480</v>
      </c>
      <c r="C6" s="11" t="s">
        <v>505</v>
      </c>
      <c r="D6" s="11" t="s">
        <v>506</v>
      </c>
      <c r="E6" s="12"/>
      <c r="F6" s="12" t="s">
        <v>495</v>
      </c>
      <c r="G6" s="11" t="s">
        <v>484</v>
      </c>
      <c r="H6" s="12"/>
      <c r="I6" s="11" t="n">
        <v>1</v>
      </c>
      <c r="J6" s="12"/>
      <c r="K6" s="11" t="s">
        <v>485</v>
      </c>
      <c r="L6" s="12"/>
      <c r="M6" s="12"/>
      <c r="N6" s="12"/>
      <c r="O6" s="12"/>
      <c r="P6" s="11" t="s">
        <v>507</v>
      </c>
      <c r="Q6" s="12"/>
      <c r="R6" s="12"/>
      <c r="S6" s="12"/>
      <c r="T6" s="12"/>
      <c r="U6" s="12"/>
      <c r="V6" s="12"/>
      <c r="W6" s="11" t="str">
        <f aca="false">IF(V6="","",IF(V6&gt;=33,"A+",IF(V6&gt;=30,"A",IF(V6&gt;=27,"B",IF(V6&gt;=24,"C",IF(V6&gt;=21,"D","below D"))))))</f>
        <v/>
      </c>
      <c r="X6" s="12"/>
      <c r="Y6" s="12"/>
      <c r="Z6" s="12"/>
      <c r="AA6" s="12"/>
      <c r="AB6" s="12"/>
      <c r="AC6" s="11" t="s">
        <v>508</v>
      </c>
      <c r="AD6" s="11" t="s">
        <v>509</v>
      </c>
      <c r="AE6" s="11" t="s">
        <v>510</v>
      </c>
      <c r="AF6" s="11" t="s">
        <v>511</v>
      </c>
      <c r="AG6" s="11" t="s">
        <v>512</v>
      </c>
      <c r="AH6" s="11" t="s">
        <v>513</v>
      </c>
      <c r="AI6" s="11" t="s">
        <v>475</v>
      </c>
      <c r="AJ6" s="12"/>
      <c r="AK6" s="12"/>
      <c r="AL6" s="11" t="s">
        <v>46</v>
      </c>
      <c r="AM6" s="12"/>
    </row>
    <row r="7" customFormat="false" ht="120" hidden="false" customHeight="true" outlineLevel="0" collapsed="false">
      <c r="A7" s="11" t="s">
        <v>514</v>
      </c>
      <c r="B7" s="11" t="s">
        <v>63</v>
      </c>
      <c r="C7" s="11" t="s">
        <v>515</v>
      </c>
      <c r="D7" s="11" t="s">
        <v>516</v>
      </c>
      <c r="E7" s="12"/>
      <c r="F7" s="12"/>
      <c r="G7" s="11" t="s">
        <v>460</v>
      </c>
      <c r="H7" s="11" t="n">
        <v>60</v>
      </c>
      <c r="I7" s="11" t="n">
        <v>0.85</v>
      </c>
      <c r="J7" s="11" t="n">
        <v>0.8</v>
      </c>
      <c r="K7" s="12"/>
      <c r="L7" s="11" t="s">
        <v>517</v>
      </c>
      <c r="M7" s="12"/>
      <c r="N7" s="12"/>
      <c r="O7" s="12"/>
      <c r="P7" s="11" t="s">
        <v>518</v>
      </c>
      <c r="Q7" s="11" t="s">
        <v>519</v>
      </c>
      <c r="R7" s="12"/>
      <c r="S7" s="12"/>
      <c r="T7" s="12"/>
      <c r="U7" s="12"/>
      <c r="V7" s="12"/>
      <c r="W7" s="11" t="str">
        <f aca="false">IF(V7="","",IF(V7&gt;=33,"A+",IF(V7&gt;=30,"A",IF(V7&gt;=27,"B",IF(V7&gt;=24,"C",IF(V7&gt;=21,"D","below D"))))))</f>
        <v/>
      </c>
      <c r="X7" s="12"/>
      <c r="Y7" s="12"/>
      <c r="Z7" s="11" t="s">
        <v>520</v>
      </c>
      <c r="AA7" s="12"/>
      <c r="AB7" s="12"/>
      <c r="AC7" s="11" t="s">
        <v>521</v>
      </c>
      <c r="AD7" s="11" t="s">
        <v>522</v>
      </c>
      <c r="AE7" s="11" t="s">
        <v>523</v>
      </c>
      <c r="AF7" s="11" t="s">
        <v>524</v>
      </c>
      <c r="AG7" s="11" t="s">
        <v>525</v>
      </c>
      <c r="AH7" s="11" t="s">
        <v>526</v>
      </c>
      <c r="AI7" s="11" t="s">
        <v>475</v>
      </c>
      <c r="AJ7" s="12"/>
      <c r="AK7" s="12"/>
      <c r="AL7" s="11" t="s">
        <v>46</v>
      </c>
      <c r="AM7" s="12"/>
    </row>
    <row r="8" customFormat="false" ht="120" hidden="false" customHeight="true" outlineLevel="0" collapsed="false">
      <c r="A8" s="11" t="s">
        <v>527</v>
      </c>
      <c r="B8" s="11" t="s">
        <v>63</v>
      </c>
      <c r="C8" s="11" t="s">
        <v>528</v>
      </c>
      <c r="D8" s="11" t="s">
        <v>529</v>
      </c>
      <c r="E8" s="12"/>
      <c r="F8" s="12"/>
      <c r="G8" s="11" t="s">
        <v>460</v>
      </c>
      <c r="H8" s="12"/>
      <c r="I8" s="12"/>
      <c r="J8" s="12"/>
      <c r="K8" s="12"/>
      <c r="L8" s="11" t="s">
        <v>462</v>
      </c>
      <c r="M8" s="12"/>
      <c r="N8" s="12"/>
      <c r="O8" s="12"/>
      <c r="P8" s="12"/>
      <c r="Q8" s="12"/>
      <c r="R8" s="12"/>
      <c r="S8" s="12"/>
      <c r="T8" s="12"/>
      <c r="U8" s="12"/>
      <c r="V8" s="12"/>
      <c r="W8" s="11" t="str">
        <f aca="false">IF(V8="","",IF(V8&gt;=33,"A+",IF(V8&gt;=30,"A",IF(V8&gt;=27,"B",IF(V8&gt;=24,"C",IF(V8&gt;=21,"D","below D"))))))</f>
        <v/>
      </c>
      <c r="X8" s="12"/>
      <c r="Y8" s="12"/>
      <c r="Z8" s="11" t="s">
        <v>520</v>
      </c>
      <c r="AA8" s="12"/>
      <c r="AB8" s="12"/>
      <c r="AC8" s="11" t="s">
        <v>530</v>
      </c>
      <c r="AD8" s="11" t="s">
        <v>531</v>
      </c>
      <c r="AE8" s="11" t="s">
        <v>532</v>
      </c>
      <c r="AF8" s="11" t="s">
        <v>533</v>
      </c>
      <c r="AG8" s="11" t="s">
        <v>534</v>
      </c>
      <c r="AH8" s="11" t="s">
        <v>535</v>
      </c>
      <c r="AI8" s="11" t="s">
        <v>475</v>
      </c>
      <c r="AJ8" s="12"/>
      <c r="AK8" s="12"/>
      <c r="AL8" s="11" t="s">
        <v>46</v>
      </c>
      <c r="AM8" s="12"/>
    </row>
    <row r="9" customFormat="false" ht="120" hidden="false" customHeight="true" outlineLevel="0" collapsed="false">
      <c r="A9" s="11" t="s">
        <v>536</v>
      </c>
      <c r="B9" s="11" t="s">
        <v>63</v>
      </c>
      <c r="C9" s="11" t="s">
        <v>537</v>
      </c>
      <c r="D9" s="11" t="s">
        <v>538</v>
      </c>
      <c r="E9" s="12"/>
      <c r="F9" s="12"/>
      <c r="G9" s="11" t="s">
        <v>460</v>
      </c>
      <c r="H9" s="12"/>
      <c r="I9" s="12"/>
      <c r="J9" s="12"/>
      <c r="K9" s="12"/>
      <c r="L9" s="12"/>
      <c r="M9" s="12"/>
      <c r="N9" s="12"/>
      <c r="O9" s="12"/>
      <c r="P9" s="12"/>
      <c r="Q9" s="12"/>
      <c r="R9" s="12"/>
      <c r="S9" s="12"/>
      <c r="T9" s="12"/>
      <c r="U9" s="12"/>
      <c r="V9" s="12"/>
      <c r="W9" s="11" t="str">
        <f aca="false">IF(V9="","",IF(V9&gt;=33,"A+",IF(V9&gt;=30,"A",IF(V9&gt;=27,"B",IF(V9&gt;=24,"C",IF(V9&gt;=21,"D","below D"))))))</f>
        <v/>
      </c>
      <c r="X9" s="12"/>
      <c r="Y9" s="12"/>
      <c r="Z9" s="11" t="s">
        <v>520</v>
      </c>
      <c r="AA9" s="12"/>
      <c r="AB9" s="12"/>
      <c r="AC9" s="11" t="s">
        <v>539</v>
      </c>
      <c r="AD9" s="11" t="s">
        <v>540</v>
      </c>
      <c r="AE9" s="11" t="s">
        <v>541</v>
      </c>
      <c r="AF9" s="11" t="s">
        <v>542</v>
      </c>
      <c r="AG9" s="11" t="s">
        <v>543</v>
      </c>
      <c r="AH9" s="11" t="s">
        <v>544</v>
      </c>
      <c r="AI9" s="11" t="s">
        <v>475</v>
      </c>
      <c r="AJ9" s="12"/>
      <c r="AK9" s="12"/>
      <c r="AL9" s="11" t="s">
        <v>46</v>
      </c>
      <c r="AM9" s="12"/>
    </row>
    <row r="10" customFormat="false" ht="27.75" hidden="false" customHeight="true" outlineLevel="0" collapsed="false">
      <c r="A10" s="11" t="s">
        <v>545</v>
      </c>
      <c r="B10" s="11" t="s">
        <v>63</v>
      </c>
      <c r="C10" s="11" t="s">
        <v>546</v>
      </c>
      <c r="D10" s="11" t="s">
        <v>547</v>
      </c>
      <c r="E10" s="12"/>
      <c r="F10" s="12"/>
      <c r="G10" s="11" t="s">
        <v>460</v>
      </c>
      <c r="H10" s="12"/>
      <c r="I10" s="12"/>
      <c r="J10" s="12"/>
      <c r="K10" s="12"/>
      <c r="L10" s="12"/>
      <c r="M10" s="12"/>
      <c r="N10" s="12"/>
      <c r="O10" s="12"/>
      <c r="P10" s="12"/>
      <c r="Q10" s="12"/>
      <c r="R10" s="12"/>
      <c r="S10" s="12"/>
      <c r="T10" s="12"/>
      <c r="U10" s="12"/>
      <c r="V10" s="12"/>
      <c r="W10" s="11" t="str">
        <f aca="false">IF(V10="","",IF(V10&gt;=33,"A+",IF(V10&gt;=30,"A",IF(V10&gt;=27,"B",IF(V10&gt;=24,"C",IF(V10&gt;=21,"D","below D"))))))</f>
        <v/>
      </c>
      <c r="X10" s="12"/>
      <c r="Y10" s="12"/>
      <c r="Z10" s="11" t="s">
        <v>520</v>
      </c>
      <c r="AA10" s="11" t="s">
        <v>548</v>
      </c>
      <c r="AB10" s="12"/>
      <c r="AC10" s="11" t="s">
        <v>549</v>
      </c>
      <c r="AD10" s="11" t="s">
        <v>550</v>
      </c>
      <c r="AE10" s="11" t="s">
        <v>551</v>
      </c>
      <c r="AF10" s="11" t="s">
        <v>552</v>
      </c>
      <c r="AG10" s="11" t="s">
        <v>553</v>
      </c>
      <c r="AH10" s="11" t="s">
        <v>554</v>
      </c>
      <c r="AI10" s="11" t="s">
        <v>475</v>
      </c>
      <c r="AJ10" s="12"/>
      <c r="AK10" s="12"/>
      <c r="AL10" s="11" t="s">
        <v>46</v>
      </c>
      <c r="AM10" s="11" t="s">
        <v>555</v>
      </c>
    </row>
    <row r="11" customFormat="false" ht="27.75" hidden="false" customHeight="true" outlineLevel="0" collapsed="false">
      <c r="A11" s="11" t="s">
        <v>556</v>
      </c>
      <c r="B11" s="11" t="s">
        <v>50</v>
      </c>
      <c r="C11" s="11" t="s">
        <v>557</v>
      </c>
      <c r="D11" s="11" t="s">
        <v>458</v>
      </c>
      <c r="E11" s="12"/>
      <c r="F11" s="12"/>
      <c r="G11" s="11" t="s">
        <v>460</v>
      </c>
      <c r="H11" s="11" t="n">
        <v>100</v>
      </c>
      <c r="I11" s="12"/>
      <c r="J11" s="12"/>
      <c r="K11" s="12"/>
      <c r="L11" s="12"/>
      <c r="M11" s="12"/>
      <c r="N11" s="12"/>
      <c r="O11" s="12"/>
      <c r="P11" s="12"/>
      <c r="Q11" s="12"/>
      <c r="R11" s="12"/>
      <c r="S11" s="12"/>
      <c r="T11" s="12"/>
      <c r="U11" s="12"/>
      <c r="V11" s="12"/>
      <c r="W11" s="11" t="str">
        <f aca="false">IF(V11="","",IF(V11&gt;=33,"A+",IF(V11&gt;=30,"A",IF(V11&gt;=27,"B",IF(V11&gt;=24,"C",IF(V11&gt;=21,"D","below D"))))))</f>
        <v/>
      </c>
      <c r="X11" s="12"/>
      <c r="Y11" s="12"/>
      <c r="Z11" s="11" t="s">
        <v>558</v>
      </c>
      <c r="AA11" s="12"/>
      <c r="AB11" s="12"/>
      <c r="AC11" s="11" t="s">
        <v>559</v>
      </c>
      <c r="AD11" s="11" t="s">
        <v>560</v>
      </c>
      <c r="AE11" s="11" t="s">
        <v>561</v>
      </c>
      <c r="AF11" s="11" t="s">
        <v>562</v>
      </c>
      <c r="AG11" s="11" t="s">
        <v>563</v>
      </c>
      <c r="AH11" s="11" t="s">
        <v>564</v>
      </c>
      <c r="AI11" s="11" t="s">
        <v>475</v>
      </c>
      <c r="AJ11" s="12"/>
      <c r="AK11" s="12"/>
      <c r="AL11" s="11" t="s">
        <v>46</v>
      </c>
      <c r="AM11" s="11" t="s">
        <v>565</v>
      </c>
    </row>
    <row r="12" customFormat="false" ht="27.75" hidden="false" customHeight="true" outlineLevel="0" collapsed="false">
      <c r="A12" s="11" t="s">
        <v>456</v>
      </c>
      <c r="B12" s="11" t="s">
        <v>50</v>
      </c>
      <c r="C12" s="11" t="s">
        <v>457</v>
      </c>
      <c r="D12" s="11" t="s">
        <v>458</v>
      </c>
      <c r="E12" s="12"/>
      <c r="F12" s="12"/>
      <c r="G12" s="11" t="s">
        <v>460</v>
      </c>
      <c r="H12" s="11" t="n">
        <v>100</v>
      </c>
      <c r="I12" s="11" t="n">
        <v>0.85</v>
      </c>
      <c r="J12" s="11" t="n">
        <v>0.85</v>
      </c>
      <c r="K12" s="12"/>
      <c r="L12" s="11" t="s">
        <v>462</v>
      </c>
      <c r="M12" s="11" t="s">
        <v>438</v>
      </c>
      <c r="N12" s="12"/>
      <c r="O12" s="11" t="n">
        <v>12</v>
      </c>
      <c r="P12" s="12"/>
      <c r="Q12" s="11" t="s">
        <v>566</v>
      </c>
      <c r="R12" s="12"/>
      <c r="S12" s="12"/>
      <c r="T12" s="12"/>
      <c r="U12" s="12"/>
      <c r="V12" s="12"/>
      <c r="W12" s="11" t="str">
        <f aca="false">IF(V12="","",IF(V12&gt;=33,"A+",IF(V12&gt;=30,"A",IF(V12&gt;=27,"B",IF(V12&gt;=24,"C",IF(V12&gt;=21,"D","below D"))))))</f>
        <v/>
      </c>
      <c r="X12" s="12"/>
      <c r="Y12" s="12"/>
      <c r="Z12" s="11" t="s">
        <v>466</v>
      </c>
      <c r="AA12" s="12"/>
      <c r="AB12" s="12"/>
      <c r="AC12" s="11" t="s">
        <v>469</v>
      </c>
      <c r="AD12" s="11" t="s">
        <v>470</v>
      </c>
      <c r="AE12" s="11" t="s">
        <v>471</v>
      </c>
      <c r="AF12" s="11" t="s">
        <v>472</v>
      </c>
      <c r="AG12" s="11" t="s">
        <v>473</v>
      </c>
      <c r="AH12" s="11" t="s">
        <v>474</v>
      </c>
      <c r="AI12" s="11" t="s">
        <v>475</v>
      </c>
      <c r="AJ12" s="12"/>
      <c r="AK12" s="12"/>
      <c r="AL12" s="11" t="s">
        <v>46</v>
      </c>
      <c r="AM12" s="12"/>
    </row>
    <row r="13" customFormat="false" ht="27.75" hidden="false" customHeight="true" outlineLevel="0" collapsed="false">
      <c r="A13" s="11" t="s">
        <v>567</v>
      </c>
      <c r="B13" s="11" t="s">
        <v>50</v>
      </c>
      <c r="C13" s="11" t="s">
        <v>568</v>
      </c>
      <c r="D13" s="11" t="s">
        <v>569</v>
      </c>
      <c r="E13" s="12"/>
      <c r="F13" s="12"/>
      <c r="G13" s="11" t="s">
        <v>460</v>
      </c>
      <c r="H13" s="11" t="n">
        <v>100</v>
      </c>
      <c r="I13" s="12"/>
      <c r="J13" s="12"/>
      <c r="K13" s="12"/>
      <c r="L13" s="12"/>
      <c r="M13" s="12"/>
      <c r="N13" s="12"/>
      <c r="O13" s="11" t="n">
        <v>12</v>
      </c>
      <c r="P13" s="12"/>
      <c r="Q13" s="12"/>
      <c r="R13" s="12"/>
      <c r="S13" s="12"/>
      <c r="T13" s="12"/>
      <c r="U13" s="12"/>
      <c r="V13" s="12"/>
      <c r="W13" s="11" t="str">
        <f aca="false">IF(V13="","",IF(V13&gt;=33,"A+",IF(V13&gt;=30,"A",IF(V13&gt;=27,"B",IF(V13&gt;=24,"C",IF(V13&gt;=21,"D","below D"))))))</f>
        <v/>
      </c>
      <c r="X13" s="12"/>
      <c r="Y13" s="12"/>
      <c r="Z13" s="11" t="s">
        <v>466</v>
      </c>
      <c r="AA13" s="12"/>
      <c r="AB13" s="12"/>
      <c r="AC13" s="11" t="s">
        <v>570</v>
      </c>
      <c r="AD13" s="11" t="s">
        <v>571</v>
      </c>
      <c r="AE13" s="11" t="s">
        <v>572</v>
      </c>
      <c r="AF13" s="11" t="s">
        <v>573</v>
      </c>
      <c r="AG13" s="11" t="s">
        <v>574</v>
      </c>
      <c r="AH13" s="11" t="s">
        <v>575</v>
      </c>
      <c r="AI13" s="11" t="s">
        <v>475</v>
      </c>
      <c r="AJ13" s="12"/>
      <c r="AK13" s="12"/>
      <c r="AL13" s="11" t="s">
        <v>46</v>
      </c>
      <c r="AM13" s="12"/>
    </row>
    <row r="14" customFormat="false" ht="23.85" hidden="false" customHeight="false" outlineLevel="0" collapsed="false">
      <c r="A14" s="11" t="s">
        <v>576</v>
      </c>
      <c r="B14" s="11" t="s">
        <v>69</v>
      </c>
      <c r="C14" s="11" t="s">
        <v>577</v>
      </c>
      <c r="D14" s="11" t="s">
        <v>578</v>
      </c>
      <c r="E14" s="12"/>
      <c r="F14" s="12" t="s">
        <v>495</v>
      </c>
      <c r="G14" s="11" t="s">
        <v>460</v>
      </c>
      <c r="H14" s="12"/>
      <c r="I14" s="12"/>
      <c r="J14" s="12"/>
      <c r="K14" s="12"/>
      <c r="L14" s="12"/>
      <c r="M14" s="12"/>
      <c r="N14" s="12"/>
      <c r="O14" s="12"/>
      <c r="P14" s="12"/>
      <c r="Q14" s="11" t="s">
        <v>579</v>
      </c>
      <c r="R14" s="11" t="n">
        <v>1</v>
      </c>
      <c r="S14" s="11" t="n">
        <v>1</v>
      </c>
      <c r="T14" s="11" t="s">
        <v>580</v>
      </c>
      <c r="U14" s="11" t="n">
        <v>280</v>
      </c>
      <c r="V14" s="11" t="n">
        <v>24</v>
      </c>
      <c r="W14" s="11" t="str">
        <f aca="false">IF(V14="","",IF(V14&gt;=33,"A+",IF(V14&gt;=30,"A",IF(V14&gt;=27,"B",IF(V14&gt;=24,"C",IF(V14&gt;=21,"D","below D"))))))</f>
        <v>C</v>
      </c>
      <c r="X14" s="11" t="s">
        <v>581</v>
      </c>
      <c r="Y14" s="11" t="n">
        <v>5</v>
      </c>
      <c r="Z14" s="12"/>
      <c r="AA14" s="12"/>
      <c r="AB14" s="12"/>
      <c r="AC14" s="11" t="s">
        <v>582</v>
      </c>
      <c r="AD14" s="11" t="s">
        <v>583</v>
      </c>
      <c r="AE14" s="11" t="s">
        <v>584</v>
      </c>
      <c r="AF14" s="11" t="s">
        <v>585</v>
      </c>
      <c r="AG14" s="11" t="s">
        <v>586</v>
      </c>
      <c r="AH14" s="11" t="s">
        <v>587</v>
      </c>
      <c r="AI14" s="11" t="s">
        <v>475</v>
      </c>
      <c r="AJ14" s="12"/>
      <c r="AK14" s="12"/>
      <c r="AL14" s="11" t="s">
        <v>46</v>
      </c>
      <c r="AM14" s="11" t="s">
        <v>588</v>
      </c>
    </row>
    <row r="15" customFormat="false" ht="27.75" hidden="false" customHeight="true" outlineLevel="0" collapsed="false">
      <c r="A15" s="11" t="s">
        <v>589</v>
      </c>
      <c r="B15" s="11" t="s">
        <v>69</v>
      </c>
      <c r="C15" s="11" t="s">
        <v>590</v>
      </c>
      <c r="D15" s="11" t="s">
        <v>578</v>
      </c>
      <c r="E15" s="12"/>
      <c r="F15" s="12" t="s">
        <v>495</v>
      </c>
      <c r="G15" s="11" t="s">
        <v>460</v>
      </c>
      <c r="H15" s="12"/>
      <c r="I15" s="12"/>
      <c r="J15" s="12"/>
      <c r="K15" s="12"/>
      <c r="L15" s="12"/>
      <c r="M15" s="12"/>
      <c r="N15" s="12"/>
      <c r="O15" s="12"/>
      <c r="P15" s="12"/>
      <c r="Q15" s="12"/>
      <c r="R15" s="11" t="n">
        <v>2</v>
      </c>
      <c r="S15" s="11" t="n">
        <v>2</v>
      </c>
      <c r="T15" s="12"/>
      <c r="U15" s="12"/>
      <c r="V15" s="12"/>
      <c r="W15" s="11" t="str">
        <f aca="false">IF(V15="","",IF(V15&gt;=33,"A+",IF(V15&gt;=30,"A",IF(V15&gt;=27,"B",IF(V15&gt;=24,"C",IF(V15&gt;=21,"D","below D"))))))</f>
        <v/>
      </c>
      <c r="X15" s="12"/>
      <c r="Y15" s="12"/>
      <c r="Z15" s="12"/>
      <c r="AA15" s="12"/>
      <c r="AB15" s="12"/>
      <c r="AC15" s="11" t="s">
        <v>591</v>
      </c>
      <c r="AD15" s="11" t="s">
        <v>592</v>
      </c>
      <c r="AE15" s="11" t="s">
        <v>593</v>
      </c>
      <c r="AF15" s="11" t="s">
        <v>594</v>
      </c>
      <c r="AG15" s="11" t="s">
        <v>595</v>
      </c>
      <c r="AH15" s="11" t="s">
        <v>596</v>
      </c>
      <c r="AI15" s="11" t="s">
        <v>475</v>
      </c>
      <c r="AJ15" s="12"/>
      <c r="AK15" s="12"/>
      <c r="AL15" s="11" t="s">
        <v>46</v>
      </c>
      <c r="AM15" s="11" t="s">
        <v>597</v>
      </c>
    </row>
    <row r="16" customFormat="false" ht="15" hidden="false" customHeight="false" outlineLevel="0" collapsed="false">
      <c r="A16" s="11" t="s">
        <v>598</v>
      </c>
      <c r="B16" s="11" t="s">
        <v>69</v>
      </c>
      <c r="C16" s="11" t="s">
        <v>599</v>
      </c>
      <c r="D16" s="11" t="s">
        <v>600</v>
      </c>
      <c r="E16" s="12"/>
      <c r="F16" s="12" t="s">
        <v>495</v>
      </c>
      <c r="G16" s="11" t="s">
        <v>460</v>
      </c>
      <c r="H16" s="12"/>
      <c r="I16" s="12"/>
      <c r="J16" s="12"/>
      <c r="K16" s="12"/>
      <c r="L16" s="12"/>
      <c r="M16" s="12"/>
      <c r="N16" s="12"/>
      <c r="O16" s="12"/>
      <c r="P16" s="12"/>
      <c r="Q16" s="12"/>
      <c r="R16" s="11" t="s">
        <v>601</v>
      </c>
      <c r="S16" s="12"/>
      <c r="T16" s="12"/>
      <c r="U16" s="12"/>
      <c r="V16" s="11" t="n">
        <v>25.9</v>
      </c>
      <c r="W16" s="11" t="str">
        <f aca="false">IF(V16="","",IF(V16&gt;=33,"A+",IF(V16&gt;=30,"A",IF(V16&gt;=27,"B",IF(V16&gt;=24,"C",IF(V16&gt;=21,"D","below D"))))))</f>
        <v>C</v>
      </c>
      <c r="X16" s="12"/>
      <c r="Y16" s="12"/>
      <c r="Z16" s="12"/>
      <c r="AA16" s="12"/>
      <c r="AB16" s="12"/>
      <c r="AC16" s="11" t="s">
        <v>602</v>
      </c>
      <c r="AD16" s="11" t="s">
        <v>603</v>
      </c>
      <c r="AE16" s="11" t="s">
        <v>604</v>
      </c>
      <c r="AF16" s="11" t="s">
        <v>605</v>
      </c>
      <c r="AG16" s="11" t="s">
        <v>606</v>
      </c>
      <c r="AH16" s="11" t="s">
        <v>607</v>
      </c>
      <c r="AI16" s="11" t="s">
        <v>475</v>
      </c>
      <c r="AJ16" s="12"/>
      <c r="AK16" s="12"/>
      <c r="AL16" s="11" t="s">
        <v>46</v>
      </c>
      <c r="AM16" s="11" t="s">
        <v>608</v>
      </c>
    </row>
    <row r="17" customFormat="false" ht="15" hidden="false" customHeight="false" outlineLevel="0" collapsed="false">
      <c r="A17" s="12"/>
      <c r="B17" s="12"/>
      <c r="C17" s="12"/>
      <c r="D17" s="12"/>
      <c r="E17" s="12"/>
      <c r="F17" s="12"/>
      <c r="G17" s="12"/>
      <c r="H17" s="12"/>
      <c r="I17" s="12"/>
      <c r="J17" s="12"/>
      <c r="K17" s="12"/>
      <c r="L17" s="12"/>
      <c r="M17" s="12"/>
      <c r="N17" s="12"/>
      <c r="O17" s="12"/>
      <c r="P17" s="12"/>
      <c r="Q17" s="12"/>
      <c r="R17" s="12"/>
      <c r="S17" s="12"/>
      <c r="T17" s="12"/>
      <c r="U17" s="12"/>
      <c r="V17" s="12"/>
      <c r="W17" s="11" t="str">
        <f aca="false">IF(V17="","",IF(V17&gt;=33,"A+",IF(V17&gt;=30,"A",IF(V17&gt;=27,"B",IF(V17&gt;=24,"C",IF(V17&gt;=21,"D","below D"))))))</f>
        <v/>
      </c>
      <c r="X17" s="12"/>
      <c r="Y17" s="12"/>
      <c r="Z17" s="12"/>
      <c r="AA17" s="12"/>
      <c r="AB17" s="12"/>
      <c r="AC17" s="12"/>
      <c r="AD17" s="12"/>
      <c r="AE17" s="12"/>
      <c r="AF17" s="12"/>
      <c r="AG17" s="12"/>
      <c r="AH17" s="12"/>
      <c r="AI17" s="12"/>
      <c r="AJ17" s="12"/>
      <c r="AK17" s="12"/>
      <c r="AL17" s="12"/>
      <c r="AM17" s="12"/>
    </row>
    <row r="18" customFormat="false" ht="15" hidden="false" customHeight="false" outlineLevel="0" collapsed="false">
      <c r="A18" s="12"/>
      <c r="B18" s="12"/>
      <c r="C18" s="12"/>
      <c r="D18" s="12"/>
      <c r="E18" s="12"/>
      <c r="F18" s="12"/>
      <c r="G18" s="12"/>
      <c r="H18" s="12"/>
      <c r="I18" s="12"/>
      <c r="J18" s="12"/>
      <c r="K18" s="12"/>
      <c r="L18" s="12"/>
      <c r="M18" s="12"/>
      <c r="N18" s="12"/>
      <c r="O18" s="12"/>
      <c r="P18" s="12"/>
      <c r="Q18" s="12"/>
      <c r="R18" s="12"/>
      <c r="S18" s="12"/>
      <c r="T18" s="12"/>
      <c r="U18" s="12"/>
      <c r="V18" s="12"/>
      <c r="W18" s="11" t="str">
        <f aca="false">IF(V18="","",IF(V18&gt;=33,"A+",IF(V18&gt;=30,"A",IF(V18&gt;=27,"B",IF(V18&gt;=24,"C",IF(V18&gt;=21,"D","below D"))))))</f>
        <v/>
      </c>
      <c r="X18" s="12"/>
      <c r="Y18" s="12"/>
      <c r="Z18" s="12"/>
      <c r="AA18" s="12"/>
      <c r="AB18" s="12"/>
      <c r="AC18" s="12"/>
      <c r="AD18" s="12"/>
      <c r="AE18" s="12"/>
      <c r="AF18" s="12"/>
      <c r="AG18" s="12"/>
      <c r="AH18" s="12"/>
      <c r="AI18" s="12"/>
      <c r="AJ18" s="12"/>
      <c r="AK18" s="12"/>
      <c r="AL18" s="12"/>
      <c r="AM18" s="12"/>
    </row>
    <row r="19" customFormat="false" ht="15" hidden="false" customHeight="false" outlineLevel="0" collapsed="false">
      <c r="A19" s="12"/>
      <c r="B19" s="12"/>
      <c r="C19" s="12"/>
      <c r="D19" s="12"/>
      <c r="E19" s="12"/>
      <c r="F19" s="12"/>
      <c r="G19" s="12"/>
      <c r="H19" s="12"/>
      <c r="I19" s="12"/>
      <c r="J19" s="12"/>
      <c r="K19" s="12"/>
      <c r="L19" s="12"/>
      <c r="M19" s="12"/>
      <c r="N19" s="12"/>
      <c r="O19" s="12"/>
      <c r="P19" s="12"/>
      <c r="Q19" s="12"/>
      <c r="R19" s="12"/>
      <c r="S19" s="12"/>
      <c r="T19" s="12"/>
      <c r="U19" s="12"/>
      <c r="V19" s="12"/>
      <c r="W19" s="11" t="str">
        <f aca="false">IF(V19="","",IF(V19&gt;=33,"A+",IF(V19&gt;=30,"A",IF(V19&gt;=27,"B",IF(V19&gt;=24,"C",IF(V19&gt;=21,"D","below D"))))))</f>
        <v/>
      </c>
      <c r="X19" s="12"/>
      <c r="Y19" s="12"/>
      <c r="Z19" s="12"/>
      <c r="AA19" s="12"/>
      <c r="AB19" s="12"/>
      <c r="AC19" s="12"/>
      <c r="AD19" s="12"/>
      <c r="AE19" s="12"/>
      <c r="AF19" s="12"/>
      <c r="AG19" s="12"/>
      <c r="AH19" s="12"/>
      <c r="AI19" s="12"/>
      <c r="AJ19" s="12"/>
      <c r="AK19" s="12"/>
      <c r="AL19" s="12"/>
      <c r="AM19" s="12"/>
    </row>
    <row r="20" customFormat="false" ht="15" hidden="false" customHeight="false" outlineLevel="0" collapsed="false">
      <c r="A20" s="12"/>
      <c r="B20" s="12"/>
      <c r="C20" s="12"/>
      <c r="D20" s="12"/>
      <c r="E20" s="12"/>
      <c r="F20" s="12"/>
      <c r="G20" s="12"/>
      <c r="H20" s="12"/>
      <c r="I20" s="12"/>
      <c r="J20" s="12"/>
      <c r="K20" s="12"/>
      <c r="L20" s="12"/>
      <c r="M20" s="12"/>
      <c r="N20" s="12"/>
      <c r="O20" s="12"/>
      <c r="P20" s="12"/>
      <c r="Q20" s="12"/>
      <c r="R20" s="12"/>
      <c r="S20" s="12"/>
      <c r="T20" s="12"/>
      <c r="U20" s="12"/>
      <c r="V20" s="12"/>
      <c r="W20" s="11" t="str">
        <f aca="false">IF(V20="","",IF(V20&gt;=33,"A+",IF(V20&gt;=30,"A",IF(V20&gt;=27,"B",IF(V20&gt;=24,"C",IF(V20&gt;=21,"D","below D"))))))</f>
        <v/>
      </c>
      <c r="X20" s="12"/>
      <c r="Y20" s="12"/>
      <c r="Z20" s="12"/>
      <c r="AA20" s="12"/>
      <c r="AB20" s="12"/>
      <c r="AC20" s="12"/>
      <c r="AD20" s="12"/>
      <c r="AE20" s="12"/>
      <c r="AF20" s="12"/>
      <c r="AG20" s="12"/>
      <c r="AH20" s="12"/>
      <c r="AI20" s="12"/>
      <c r="AJ20" s="12"/>
      <c r="AK20" s="12"/>
      <c r="AL20" s="12"/>
      <c r="AM20" s="12"/>
    </row>
    <row r="21" customFormat="false" ht="15" hidden="false" customHeight="false" outlineLevel="0" collapsed="false">
      <c r="A21" s="12"/>
      <c r="B21" s="12"/>
      <c r="C21" s="12"/>
      <c r="D21" s="12"/>
      <c r="E21" s="12"/>
      <c r="F21" s="12"/>
      <c r="G21" s="12"/>
      <c r="H21" s="12"/>
      <c r="I21" s="12"/>
      <c r="J21" s="12"/>
      <c r="K21" s="12"/>
      <c r="L21" s="12"/>
      <c r="M21" s="12"/>
      <c r="N21" s="12"/>
      <c r="O21" s="12"/>
      <c r="P21" s="12"/>
      <c r="Q21" s="12"/>
      <c r="R21" s="12"/>
      <c r="S21" s="12"/>
      <c r="T21" s="12"/>
      <c r="U21" s="12"/>
      <c r="V21" s="12"/>
      <c r="W21" s="11" t="str">
        <f aca="false">IF(V21="","",IF(V21&gt;=33,"A+",IF(V21&gt;=30,"A",IF(V21&gt;=27,"B",IF(V21&gt;=24,"C",IF(V21&gt;=21,"D","below D"))))))</f>
        <v/>
      </c>
      <c r="X21" s="12"/>
      <c r="Y21" s="12"/>
      <c r="Z21" s="12"/>
      <c r="AA21" s="12"/>
      <c r="AB21" s="12"/>
      <c r="AC21" s="12"/>
      <c r="AD21" s="12"/>
      <c r="AE21" s="12"/>
      <c r="AF21" s="12"/>
      <c r="AG21" s="12"/>
      <c r="AH21" s="12"/>
      <c r="AI21" s="12"/>
      <c r="AJ21" s="12"/>
      <c r="AK21" s="12"/>
      <c r="AL21" s="12"/>
      <c r="AM21" s="12"/>
    </row>
    <row r="22" customFormat="false" ht="15" hidden="false" customHeight="false" outlineLevel="0" collapsed="false">
      <c r="A22" s="12"/>
      <c r="B22" s="12"/>
      <c r="C22" s="12"/>
      <c r="D22" s="12"/>
      <c r="E22" s="12"/>
      <c r="F22" s="12"/>
      <c r="G22" s="12"/>
      <c r="H22" s="12"/>
      <c r="I22" s="12"/>
      <c r="J22" s="12"/>
      <c r="K22" s="12"/>
      <c r="L22" s="12"/>
      <c r="M22" s="12"/>
      <c r="N22" s="12"/>
      <c r="O22" s="12"/>
      <c r="P22" s="12"/>
      <c r="Q22" s="12"/>
      <c r="R22" s="12"/>
      <c r="S22" s="12"/>
      <c r="T22" s="12"/>
      <c r="U22" s="12"/>
      <c r="V22" s="12"/>
      <c r="W22" s="11" t="str">
        <f aca="false">IF(V22="","",IF(V22&gt;=33,"A+",IF(V22&gt;=30,"A",IF(V22&gt;=27,"B",IF(V22&gt;=24,"C",IF(V22&gt;=21,"D","below D"))))))</f>
        <v/>
      </c>
      <c r="X22" s="12"/>
      <c r="Y22" s="12"/>
      <c r="Z22" s="12"/>
      <c r="AA22" s="12"/>
      <c r="AB22" s="12"/>
      <c r="AC22" s="12"/>
      <c r="AD22" s="12"/>
      <c r="AE22" s="12"/>
      <c r="AF22" s="12"/>
      <c r="AG22" s="12"/>
      <c r="AH22" s="12"/>
      <c r="AI22" s="12"/>
      <c r="AJ22" s="12"/>
      <c r="AK22" s="12"/>
      <c r="AL22" s="12"/>
      <c r="AM22" s="12"/>
    </row>
    <row r="23" customFormat="false" ht="15" hidden="false" customHeight="false" outlineLevel="0" collapsed="false">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row>
    <row r="24" customFormat="false" ht="15" hidden="false" customHeight="false" outlineLevel="0" collapsed="false">
      <c r="A24" s="13" t="s">
        <v>609</v>
      </c>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row>
  </sheetData>
  <autoFilter ref="A1:AM22"/>
  <dataValidations count="5">
    <dataValidation allowBlank="true" error="Pick a value from the list" errorStyle="stop" errorTitle="Invalid value" operator="between" showDropDown="false" showErrorMessage="false" showInputMessage="false" sqref="B3:B22" type="list">
      <formula1>"rPET,rWood,Booths,Textile (Interior/Solid/Divide),General"</formula1>
      <formula2>0</formula2>
    </dataValidation>
    <dataValidation allowBlank="true" error="Pick a value from the list" errorStyle="stop" errorTitle="Invalid value" operator="between" showDropDown="false" showErrorMessage="false" showInputMessage="false" sqref="AL3:AL22" type="list">
      <formula1>"Backlog,Briefed,Drafting,Review,Translation,Ready for dev,Live,On hold"</formula1>
      <formula2>0</formula2>
    </dataValidation>
    <dataValidation allowBlank="true" error="Pick a value from the list" errorStyle="stop" errorTitle="Invalid value" operator="between" showDropDown="false" showErrorMessage="false" showInputMessage="false" sqref="K3:K22" type="list">
      <formula1>"A,B,C,D,E"</formula1>
      <formula2>0</formula2>
    </dataValidation>
    <dataValidation allowBlank="true" error="Pick a value from the list" errorStyle="stop" errorTitle="Invalid value" operator="between" showDropDown="false" showErrorMessage="false" showInputMessage="false" sqref="G3:G22" type="list">
      <formula1>"BE,PL"</formula1>
      <formula2>0</formula2>
    </dataValidation>
    <dataValidation allowBlank="true" error="Pick a value from the list" errorStyle="stop" errorTitle="Invalid value" operator="between" showDropDown="false" showErrorMessage="false" showInputMessage="false" sqref="AA3:AA22"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9"/>
    <col collapsed="false" customWidth="true" hidden="false" outlineLevel="0" max="2" min="2" style="0" width="14"/>
    <col collapsed="false" customWidth="true" hidden="false" outlineLevel="0" max="3" min="3" style="0" width="7"/>
    <col collapsed="false" customWidth="true" hidden="false" outlineLevel="0" max="4" min="4" style="0" width="30"/>
    <col collapsed="false" customWidth="true" hidden="false" outlineLevel="0" max="6" min="5" style="0" width="44"/>
    <col collapsed="false" customWidth="true" hidden="false" outlineLevel="0" max="7" min="7" style="0" width="30"/>
    <col collapsed="false" customWidth="true" hidden="false" outlineLevel="0" max="8" min="8" style="0" width="40"/>
    <col collapsed="false" customWidth="true" hidden="false" outlineLevel="0" max="9" min="9" style="0" width="22"/>
    <col collapsed="false" customWidth="true" hidden="false" outlineLevel="0" max="10" min="10" style="0" width="40"/>
    <col collapsed="false" customWidth="true" hidden="false" outlineLevel="0" max="11" min="11" style="0" width="22"/>
    <col collapsed="false" customWidth="true" hidden="false" outlineLevel="0" max="12" min="12" style="0" width="40"/>
    <col collapsed="false" customWidth="true" hidden="false" outlineLevel="0" max="13" min="13" style="0" width="22"/>
    <col collapsed="false" customWidth="true" hidden="false" outlineLevel="0" max="14" min="14" style="0" width="40"/>
    <col collapsed="false" customWidth="true" hidden="false" outlineLevel="0" max="15" min="15" style="0" width="34"/>
    <col collapsed="false" customWidth="true" hidden="false" outlineLevel="0" max="16" min="16" style="0" width="30"/>
    <col collapsed="false" customWidth="true" hidden="false" outlineLevel="0" max="17" min="17" style="0" width="12"/>
  </cols>
  <sheetData>
    <row r="1" customFormat="false" ht="31.5" hidden="false" customHeight="true" outlineLevel="0" collapsed="false">
      <c r="A1" s="4" t="s">
        <v>20</v>
      </c>
      <c r="B1" s="4" t="s">
        <v>610</v>
      </c>
      <c r="C1" s="4" t="s">
        <v>290</v>
      </c>
      <c r="D1" s="4" t="s">
        <v>291</v>
      </c>
      <c r="E1" s="4" t="s">
        <v>292</v>
      </c>
      <c r="F1" s="4" t="s">
        <v>293</v>
      </c>
      <c r="G1" s="4" t="s">
        <v>294</v>
      </c>
      <c r="H1" s="4" t="s">
        <v>611</v>
      </c>
      <c r="I1" s="4" t="s">
        <v>612</v>
      </c>
      <c r="J1" s="4" t="s">
        <v>613</v>
      </c>
      <c r="K1" s="4" t="s">
        <v>614</v>
      </c>
      <c r="L1" s="4" t="s">
        <v>615</v>
      </c>
      <c r="M1" s="4" t="s">
        <v>616</v>
      </c>
      <c r="N1" s="4" t="s">
        <v>617</v>
      </c>
      <c r="O1" s="4" t="s">
        <v>618</v>
      </c>
      <c r="P1" s="4" t="s">
        <v>619</v>
      </c>
      <c r="Q1" s="4" t="s">
        <v>27</v>
      </c>
    </row>
    <row r="2" customFormat="false" ht="63.75" hidden="false" customHeight="true" outlineLevel="0" collapsed="false">
      <c r="A2" s="7" t="s">
        <v>318</v>
      </c>
      <c r="B2" s="7" t="s">
        <v>620</v>
      </c>
      <c r="C2" s="7" t="s">
        <v>621</v>
      </c>
      <c r="D2" s="7" t="s">
        <v>622</v>
      </c>
      <c r="E2" s="7" t="s">
        <v>623</v>
      </c>
      <c r="F2" s="7"/>
      <c r="G2" s="7"/>
      <c r="H2" s="7" t="s">
        <v>624</v>
      </c>
      <c r="I2" s="7"/>
      <c r="J2" s="7" t="s">
        <v>625</v>
      </c>
      <c r="K2" s="7"/>
      <c r="L2" s="7"/>
      <c r="M2" s="7"/>
      <c r="N2" s="7"/>
      <c r="O2" s="7" t="s">
        <v>626</v>
      </c>
      <c r="P2" s="7" t="s">
        <v>452</v>
      </c>
      <c r="Q2" s="7" t="s">
        <v>182</v>
      </c>
    </row>
    <row r="3" customFormat="false" ht="48" hidden="false" customHeight="true" outlineLevel="0" collapsed="false">
      <c r="A3" s="10" t="s">
        <v>63</v>
      </c>
      <c r="B3" s="10" t="s">
        <v>627</v>
      </c>
      <c r="C3" s="10" t="s">
        <v>77</v>
      </c>
      <c r="D3" s="10" t="s">
        <v>628</v>
      </c>
      <c r="E3" s="10" t="s">
        <v>629</v>
      </c>
      <c r="F3" s="10" t="s">
        <v>630</v>
      </c>
      <c r="G3" s="10" t="s">
        <v>631</v>
      </c>
      <c r="H3" s="10" t="s">
        <v>632</v>
      </c>
      <c r="I3" s="10" t="s">
        <v>633</v>
      </c>
      <c r="J3" s="10" t="s">
        <v>634</v>
      </c>
      <c r="K3" s="10" t="s">
        <v>635</v>
      </c>
      <c r="L3" s="10" t="s">
        <v>636</v>
      </c>
      <c r="M3" s="10" t="s">
        <v>637</v>
      </c>
      <c r="N3" s="10" t="s">
        <v>638</v>
      </c>
      <c r="O3" s="10" t="s">
        <v>639</v>
      </c>
      <c r="P3" s="10" t="s">
        <v>640</v>
      </c>
      <c r="Q3" s="10" t="s">
        <v>46</v>
      </c>
    </row>
    <row r="4" customFormat="false" ht="15" hidden="false" customHeight="false" outlineLevel="0" collapsed="false">
      <c r="A4" s="11" t="s">
        <v>50</v>
      </c>
      <c r="B4" s="11" t="s">
        <v>627</v>
      </c>
      <c r="C4" s="11" t="s">
        <v>77</v>
      </c>
      <c r="D4" s="11" t="s">
        <v>641</v>
      </c>
      <c r="E4" s="12"/>
      <c r="F4" s="12"/>
      <c r="G4" s="12"/>
      <c r="H4" s="12"/>
      <c r="I4" s="12"/>
      <c r="J4" s="12"/>
      <c r="K4" s="12"/>
      <c r="L4" s="12"/>
      <c r="M4" s="12"/>
      <c r="N4" s="12"/>
      <c r="O4" s="12"/>
      <c r="P4" s="12"/>
      <c r="Q4" s="11" t="s">
        <v>46</v>
      </c>
    </row>
    <row r="5" customFormat="false" ht="15" hidden="false" customHeight="false" outlineLevel="0" collapsed="false">
      <c r="A5" s="11" t="s">
        <v>50</v>
      </c>
      <c r="B5" s="11" t="s">
        <v>642</v>
      </c>
      <c r="C5" s="11" t="s">
        <v>77</v>
      </c>
      <c r="D5" s="11" t="s">
        <v>643</v>
      </c>
      <c r="E5" s="12"/>
      <c r="F5" s="12"/>
      <c r="G5" s="12"/>
      <c r="H5" s="12"/>
      <c r="I5" s="12"/>
      <c r="J5" s="12"/>
      <c r="K5" s="12"/>
      <c r="L5" s="12"/>
      <c r="M5" s="12"/>
      <c r="N5" s="12"/>
      <c r="O5" s="12"/>
      <c r="P5" s="12"/>
      <c r="Q5" s="11" t="s">
        <v>46</v>
      </c>
    </row>
    <row r="6" customFormat="false" ht="15" hidden="false" customHeight="false" outlineLevel="0" collapsed="false">
      <c r="A6" s="11" t="s">
        <v>50</v>
      </c>
      <c r="B6" s="11" t="s">
        <v>644</v>
      </c>
      <c r="C6" s="11" t="s">
        <v>77</v>
      </c>
      <c r="D6" s="11" t="s">
        <v>645</v>
      </c>
      <c r="E6" s="12"/>
      <c r="F6" s="12"/>
      <c r="G6" s="12"/>
      <c r="H6" s="12"/>
      <c r="I6" s="12"/>
      <c r="J6" s="12"/>
      <c r="K6" s="12"/>
      <c r="L6" s="12"/>
      <c r="M6" s="12"/>
      <c r="N6" s="12"/>
      <c r="O6" s="12"/>
      <c r="P6" s="12"/>
      <c r="Q6" s="11" t="s">
        <v>46</v>
      </c>
    </row>
    <row r="7" customFormat="false" ht="15" hidden="false" customHeight="false" outlineLevel="0" collapsed="false">
      <c r="A7" s="11" t="s">
        <v>50</v>
      </c>
      <c r="B7" s="11" t="s">
        <v>646</v>
      </c>
      <c r="C7" s="11" t="s">
        <v>77</v>
      </c>
      <c r="D7" s="11" t="s">
        <v>647</v>
      </c>
      <c r="E7" s="12"/>
      <c r="F7" s="12"/>
      <c r="G7" s="12"/>
      <c r="H7" s="12"/>
      <c r="I7" s="12"/>
      <c r="J7" s="12"/>
      <c r="K7" s="12"/>
      <c r="L7" s="12"/>
      <c r="M7" s="12"/>
      <c r="N7" s="12"/>
      <c r="O7" s="12"/>
      <c r="P7" s="12"/>
      <c r="Q7" s="11" t="s">
        <v>46</v>
      </c>
    </row>
    <row r="8" customFormat="false" ht="15" hidden="false" customHeight="false" outlineLevel="0" collapsed="false">
      <c r="A8" s="11" t="s">
        <v>50</v>
      </c>
      <c r="B8" s="11" t="s">
        <v>648</v>
      </c>
      <c r="C8" s="11" t="s">
        <v>77</v>
      </c>
      <c r="D8" s="11" t="s">
        <v>649</v>
      </c>
      <c r="E8" s="12"/>
      <c r="F8" s="12"/>
      <c r="G8" s="12"/>
      <c r="H8" s="12"/>
      <c r="I8" s="12"/>
      <c r="J8" s="12"/>
      <c r="K8" s="12"/>
      <c r="L8" s="12"/>
      <c r="M8" s="12"/>
      <c r="N8" s="12"/>
      <c r="O8" s="12"/>
      <c r="P8" s="12"/>
      <c r="Q8" s="11" t="s">
        <v>46</v>
      </c>
    </row>
    <row r="9" customFormat="false" ht="15" hidden="false" customHeight="false" outlineLevel="0" collapsed="false">
      <c r="A9" s="11" t="s">
        <v>50</v>
      </c>
      <c r="B9" s="11" t="s">
        <v>650</v>
      </c>
      <c r="C9" s="11" t="s">
        <v>77</v>
      </c>
      <c r="D9" s="11" t="s">
        <v>651</v>
      </c>
      <c r="E9" s="12"/>
      <c r="F9" s="12"/>
      <c r="G9" s="12"/>
      <c r="H9" s="12"/>
      <c r="I9" s="12"/>
      <c r="J9" s="12"/>
      <c r="K9" s="12"/>
      <c r="L9" s="12"/>
      <c r="M9" s="12"/>
      <c r="N9" s="12"/>
      <c r="O9" s="12"/>
      <c r="P9" s="12"/>
      <c r="Q9" s="11" t="s">
        <v>46</v>
      </c>
    </row>
    <row r="10" customFormat="false" ht="15" hidden="false" customHeight="false" outlineLevel="0" collapsed="false">
      <c r="A10" s="11" t="s">
        <v>63</v>
      </c>
      <c r="B10" s="11" t="s">
        <v>627</v>
      </c>
      <c r="C10" s="11" t="s">
        <v>77</v>
      </c>
      <c r="D10" s="11" t="s">
        <v>628</v>
      </c>
      <c r="E10" s="12"/>
      <c r="F10" s="12"/>
      <c r="G10" s="12"/>
      <c r="H10" s="12"/>
      <c r="I10" s="12"/>
      <c r="J10" s="12"/>
      <c r="K10" s="12"/>
      <c r="L10" s="12"/>
      <c r="M10" s="12"/>
      <c r="N10" s="12"/>
      <c r="O10" s="12"/>
      <c r="P10" s="12"/>
      <c r="Q10" s="11" t="s">
        <v>46</v>
      </c>
    </row>
    <row r="11" customFormat="false" ht="15" hidden="false" customHeight="false" outlineLevel="0" collapsed="false">
      <c r="A11" s="11" t="s">
        <v>63</v>
      </c>
      <c r="B11" s="11" t="s">
        <v>642</v>
      </c>
      <c r="C11" s="11" t="s">
        <v>77</v>
      </c>
      <c r="D11" s="11" t="s">
        <v>652</v>
      </c>
      <c r="E11" s="12"/>
      <c r="F11" s="12"/>
      <c r="G11" s="12"/>
      <c r="H11" s="12"/>
      <c r="I11" s="12"/>
      <c r="J11" s="12"/>
      <c r="K11" s="12"/>
      <c r="L11" s="12"/>
      <c r="M11" s="12"/>
      <c r="N11" s="12"/>
      <c r="O11" s="12"/>
      <c r="P11" s="12"/>
      <c r="Q11" s="11" t="s">
        <v>46</v>
      </c>
    </row>
    <row r="12" customFormat="false" ht="15" hidden="false" customHeight="false" outlineLevel="0" collapsed="false">
      <c r="A12" s="11" t="s">
        <v>63</v>
      </c>
      <c r="B12" s="11" t="s">
        <v>644</v>
      </c>
      <c r="C12" s="11" t="s">
        <v>77</v>
      </c>
      <c r="D12" s="11" t="s">
        <v>653</v>
      </c>
      <c r="E12" s="12"/>
      <c r="F12" s="12"/>
      <c r="G12" s="12"/>
      <c r="H12" s="12"/>
      <c r="I12" s="12"/>
      <c r="J12" s="12"/>
      <c r="K12" s="12"/>
      <c r="L12" s="12"/>
      <c r="M12" s="12"/>
      <c r="N12" s="12"/>
      <c r="O12" s="12"/>
      <c r="P12" s="12"/>
      <c r="Q12" s="11" t="s">
        <v>46</v>
      </c>
    </row>
    <row r="13" customFormat="false" ht="15" hidden="false" customHeight="false" outlineLevel="0" collapsed="false">
      <c r="A13" s="11" t="s">
        <v>63</v>
      </c>
      <c r="B13" s="11" t="s">
        <v>646</v>
      </c>
      <c r="C13" s="11" t="s">
        <v>77</v>
      </c>
      <c r="D13" s="11" t="s">
        <v>654</v>
      </c>
      <c r="E13" s="12"/>
      <c r="F13" s="12"/>
      <c r="G13" s="12"/>
      <c r="H13" s="12"/>
      <c r="I13" s="12"/>
      <c r="J13" s="12"/>
      <c r="K13" s="12"/>
      <c r="L13" s="12"/>
      <c r="M13" s="12"/>
      <c r="N13" s="12"/>
      <c r="O13" s="12"/>
      <c r="P13" s="12"/>
      <c r="Q13" s="11" t="s">
        <v>46</v>
      </c>
    </row>
    <row r="14" customFormat="false" ht="15" hidden="false" customHeight="false" outlineLevel="0" collapsed="false">
      <c r="A14" s="11" t="s">
        <v>63</v>
      </c>
      <c r="B14" s="11" t="s">
        <v>648</v>
      </c>
      <c r="C14" s="11" t="s">
        <v>77</v>
      </c>
      <c r="D14" s="11" t="s">
        <v>655</v>
      </c>
      <c r="E14" s="12"/>
      <c r="F14" s="12"/>
      <c r="G14" s="12"/>
      <c r="H14" s="12"/>
      <c r="I14" s="12"/>
      <c r="J14" s="12"/>
      <c r="K14" s="12"/>
      <c r="L14" s="12"/>
      <c r="M14" s="12"/>
      <c r="N14" s="12"/>
      <c r="O14" s="12"/>
      <c r="P14" s="12"/>
      <c r="Q14" s="11" t="s">
        <v>46</v>
      </c>
    </row>
    <row r="15" customFormat="false" ht="15" hidden="false" customHeight="false" outlineLevel="0" collapsed="false">
      <c r="A15" s="11" t="s">
        <v>63</v>
      </c>
      <c r="B15" s="11" t="s">
        <v>650</v>
      </c>
      <c r="C15" s="11" t="s">
        <v>77</v>
      </c>
      <c r="D15" s="11" t="s">
        <v>656</v>
      </c>
      <c r="E15" s="12"/>
      <c r="F15" s="12"/>
      <c r="G15" s="12"/>
      <c r="H15" s="12"/>
      <c r="I15" s="12"/>
      <c r="J15" s="12"/>
      <c r="K15" s="12"/>
      <c r="L15" s="12"/>
      <c r="M15" s="12"/>
      <c r="N15" s="12"/>
      <c r="O15" s="12"/>
      <c r="P15" s="12"/>
      <c r="Q15" s="11" t="s">
        <v>46</v>
      </c>
    </row>
    <row r="16" customFormat="false" ht="15" hidden="false" customHeight="false" outlineLevel="0" collapsed="false">
      <c r="A16" s="11" t="s">
        <v>69</v>
      </c>
      <c r="B16" s="11" t="s">
        <v>627</v>
      </c>
      <c r="C16" s="11" t="s">
        <v>77</v>
      </c>
      <c r="D16" s="11" t="s">
        <v>657</v>
      </c>
      <c r="E16" s="12"/>
      <c r="F16" s="12"/>
      <c r="G16" s="12"/>
      <c r="H16" s="12"/>
      <c r="I16" s="12"/>
      <c r="J16" s="12"/>
      <c r="K16" s="12"/>
      <c r="L16" s="12"/>
      <c r="M16" s="12"/>
      <c r="N16" s="12"/>
      <c r="O16" s="12"/>
      <c r="P16" s="12"/>
      <c r="Q16" s="11" t="s">
        <v>46</v>
      </c>
    </row>
    <row r="17" customFormat="false" ht="15" hidden="false" customHeight="false" outlineLevel="0" collapsed="false">
      <c r="A17" s="11" t="s">
        <v>69</v>
      </c>
      <c r="B17" s="11" t="s">
        <v>642</v>
      </c>
      <c r="C17" s="11" t="s">
        <v>77</v>
      </c>
      <c r="D17" s="11" t="s">
        <v>658</v>
      </c>
      <c r="E17" s="12"/>
      <c r="F17" s="12"/>
      <c r="G17" s="12"/>
      <c r="H17" s="12"/>
      <c r="I17" s="12"/>
      <c r="J17" s="12"/>
      <c r="K17" s="12"/>
      <c r="L17" s="12"/>
      <c r="M17" s="12"/>
      <c r="N17" s="12"/>
      <c r="O17" s="12"/>
      <c r="P17" s="12"/>
      <c r="Q17" s="11" t="s">
        <v>46</v>
      </c>
    </row>
    <row r="18" customFormat="false" ht="15" hidden="false" customHeight="false" outlineLevel="0" collapsed="false">
      <c r="A18" s="11" t="s">
        <v>69</v>
      </c>
      <c r="B18" s="11" t="s">
        <v>644</v>
      </c>
      <c r="C18" s="11" t="s">
        <v>77</v>
      </c>
      <c r="D18" s="11" t="s">
        <v>659</v>
      </c>
      <c r="E18" s="12"/>
      <c r="F18" s="12"/>
      <c r="G18" s="12"/>
      <c r="H18" s="12"/>
      <c r="I18" s="12"/>
      <c r="J18" s="12"/>
      <c r="K18" s="12"/>
      <c r="L18" s="12"/>
      <c r="M18" s="12"/>
      <c r="N18" s="12"/>
      <c r="O18" s="12"/>
      <c r="P18" s="12"/>
      <c r="Q18" s="11" t="s">
        <v>46</v>
      </c>
    </row>
    <row r="19" customFormat="false" ht="15" hidden="false" customHeight="false" outlineLevel="0" collapsed="false">
      <c r="A19" s="11" t="s">
        <v>69</v>
      </c>
      <c r="B19" s="11" t="s">
        <v>646</v>
      </c>
      <c r="C19" s="11" t="s">
        <v>77</v>
      </c>
      <c r="D19" s="11" t="s">
        <v>660</v>
      </c>
      <c r="E19" s="12"/>
      <c r="F19" s="12"/>
      <c r="G19" s="12"/>
      <c r="H19" s="12"/>
      <c r="I19" s="12"/>
      <c r="J19" s="12"/>
      <c r="K19" s="12"/>
      <c r="L19" s="12"/>
      <c r="M19" s="12"/>
      <c r="N19" s="12"/>
      <c r="O19" s="12"/>
      <c r="P19" s="12"/>
      <c r="Q19" s="11" t="s">
        <v>46</v>
      </c>
    </row>
    <row r="20" customFormat="false" ht="15" hidden="false" customHeight="false" outlineLevel="0" collapsed="false">
      <c r="A20" s="11" t="s">
        <v>69</v>
      </c>
      <c r="B20" s="11" t="s">
        <v>648</v>
      </c>
      <c r="C20" s="11" t="s">
        <v>77</v>
      </c>
      <c r="D20" s="11" t="s">
        <v>661</v>
      </c>
      <c r="E20" s="12"/>
      <c r="F20" s="12"/>
      <c r="G20" s="12"/>
      <c r="H20" s="12"/>
      <c r="I20" s="12"/>
      <c r="J20" s="12"/>
      <c r="K20" s="12"/>
      <c r="L20" s="12"/>
      <c r="M20" s="12"/>
      <c r="N20" s="12"/>
      <c r="O20" s="12"/>
      <c r="P20" s="12"/>
      <c r="Q20" s="11" t="s">
        <v>46</v>
      </c>
    </row>
    <row r="21" customFormat="false" ht="15" hidden="false" customHeight="false" outlineLevel="0" collapsed="false">
      <c r="A21" s="11" t="s">
        <v>69</v>
      </c>
      <c r="B21" s="11" t="s">
        <v>650</v>
      </c>
      <c r="C21" s="11" t="s">
        <v>77</v>
      </c>
      <c r="D21" s="11" t="s">
        <v>662</v>
      </c>
      <c r="E21" s="12"/>
      <c r="F21" s="12"/>
      <c r="G21" s="12"/>
      <c r="H21" s="12"/>
      <c r="I21" s="12"/>
      <c r="J21" s="12"/>
      <c r="K21" s="12"/>
      <c r="L21" s="12"/>
      <c r="M21" s="12"/>
      <c r="N21" s="12"/>
      <c r="O21" s="12"/>
      <c r="P21" s="12"/>
      <c r="Q21" s="11" t="s">
        <v>46</v>
      </c>
    </row>
    <row r="22" customFormat="false" ht="15" hidden="false" customHeight="false" outlineLevel="0" collapsed="false">
      <c r="A22" s="12"/>
      <c r="B22" s="12"/>
      <c r="C22" s="12"/>
      <c r="D22" s="12"/>
      <c r="E22" s="12"/>
      <c r="F22" s="12"/>
      <c r="G22" s="12"/>
      <c r="H22" s="12"/>
      <c r="I22" s="12"/>
      <c r="J22" s="12"/>
      <c r="K22" s="12"/>
      <c r="L22" s="12"/>
      <c r="M22" s="12"/>
      <c r="N22" s="12"/>
      <c r="O22" s="12"/>
      <c r="P22" s="12"/>
      <c r="Q22" s="12"/>
    </row>
    <row r="23" customFormat="false" ht="15" hidden="false" customHeight="false" outlineLevel="0" collapsed="false">
      <c r="A23" s="12"/>
      <c r="B23" s="12"/>
      <c r="C23" s="12"/>
      <c r="D23" s="12"/>
      <c r="E23" s="12"/>
      <c r="F23" s="12"/>
      <c r="G23" s="12"/>
      <c r="H23" s="12"/>
      <c r="I23" s="12"/>
      <c r="J23" s="12"/>
      <c r="K23" s="12"/>
      <c r="L23" s="12"/>
      <c r="M23" s="12"/>
      <c r="N23" s="12"/>
      <c r="O23" s="12"/>
      <c r="P23" s="12"/>
      <c r="Q23" s="12"/>
    </row>
    <row r="24" customFormat="false" ht="15" hidden="false" customHeight="false" outlineLevel="0" collapsed="false">
      <c r="A24" s="12"/>
      <c r="B24" s="12"/>
      <c r="C24" s="12"/>
      <c r="D24" s="12"/>
      <c r="E24" s="12"/>
      <c r="F24" s="12"/>
      <c r="G24" s="12"/>
      <c r="H24" s="12"/>
      <c r="I24" s="12"/>
      <c r="J24" s="12"/>
      <c r="K24" s="12"/>
      <c r="L24" s="12"/>
      <c r="M24" s="12"/>
      <c r="N24" s="12"/>
      <c r="O24" s="12"/>
      <c r="P24" s="12"/>
      <c r="Q24" s="12"/>
    </row>
    <row r="25" customFormat="false" ht="15" hidden="false" customHeight="false" outlineLevel="0" collapsed="false">
      <c r="A25" s="12"/>
      <c r="B25" s="12"/>
      <c r="C25" s="12"/>
      <c r="D25" s="12"/>
      <c r="E25" s="12"/>
      <c r="F25" s="12"/>
      <c r="G25" s="12"/>
      <c r="H25" s="12"/>
      <c r="I25" s="12"/>
      <c r="J25" s="12"/>
      <c r="K25" s="12"/>
      <c r="L25" s="12"/>
      <c r="M25" s="12"/>
      <c r="N25" s="12"/>
      <c r="O25" s="12"/>
      <c r="P25" s="12"/>
      <c r="Q25" s="12"/>
    </row>
    <row r="26" customFormat="false" ht="15" hidden="false" customHeight="false" outlineLevel="0" collapsed="false">
      <c r="A26" s="12"/>
      <c r="B26" s="12"/>
      <c r="C26" s="12"/>
      <c r="D26" s="12"/>
      <c r="E26" s="12"/>
      <c r="F26" s="12"/>
      <c r="G26" s="12"/>
      <c r="H26" s="12"/>
      <c r="I26" s="12"/>
      <c r="J26" s="12"/>
      <c r="K26" s="12"/>
      <c r="L26" s="12"/>
      <c r="M26" s="12"/>
      <c r="N26" s="12"/>
      <c r="O26" s="12"/>
      <c r="P26" s="12"/>
      <c r="Q26" s="12"/>
    </row>
    <row r="27" customFormat="false" ht="15" hidden="false" customHeight="false" outlineLevel="0" collapsed="false">
      <c r="A27" s="12"/>
      <c r="B27" s="12"/>
      <c r="C27" s="12"/>
      <c r="D27" s="12"/>
      <c r="E27" s="12"/>
      <c r="F27" s="12"/>
      <c r="G27" s="12"/>
      <c r="H27" s="12"/>
      <c r="I27" s="12"/>
      <c r="J27" s="12"/>
      <c r="K27" s="12"/>
      <c r="L27" s="12"/>
      <c r="M27" s="12"/>
      <c r="N27" s="12"/>
      <c r="O27" s="12"/>
      <c r="P27" s="12"/>
      <c r="Q27" s="12"/>
    </row>
    <row r="28" customFormat="false" ht="15" hidden="false" customHeight="false" outlineLevel="0" collapsed="false">
      <c r="A28" s="12"/>
      <c r="B28" s="12"/>
      <c r="C28" s="12"/>
      <c r="D28" s="12"/>
      <c r="E28" s="12"/>
      <c r="F28" s="12"/>
      <c r="G28" s="12"/>
      <c r="H28" s="12"/>
      <c r="I28" s="12"/>
      <c r="J28" s="12"/>
      <c r="K28" s="12"/>
      <c r="L28" s="12"/>
      <c r="M28" s="12"/>
      <c r="N28" s="12"/>
      <c r="O28" s="12"/>
      <c r="P28" s="12"/>
      <c r="Q28" s="12"/>
    </row>
    <row r="29" customFormat="false" ht="15" hidden="false" customHeight="false" outlineLevel="0" collapsed="false">
      <c r="A29" s="12"/>
      <c r="B29" s="12"/>
      <c r="C29" s="12"/>
      <c r="D29" s="12"/>
      <c r="E29" s="12"/>
      <c r="F29" s="12"/>
      <c r="G29" s="12"/>
      <c r="H29" s="12"/>
      <c r="I29" s="12"/>
      <c r="J29" s="12"/>
      <c r="K29" s="12"/>
      <c r="L29" s="12"/>
      <c r="M29" s="12"/>
      <c r="N29" s="12"/>
      <c r="O29" s="12"/>
      <c r="P29" s="12"/>
      <c r="Q29" s="12"/>
    </row>
    <row r="30" customFormat="false" ht="15" hidden="false" customHeight="false" outlineLevel="0" collapsed="false">
      <c r="A30" s="12"/>
      <c r="B30" s="12"/>
      <c r="C30" s="12"/>
      <c r="D30" s="12"/>
      <c r="E30" s="12"/>
      <c r="F30" s="12"/>
      <c r="G30" s="12"/>
      <c r="H30" s="12"/>
      <c r="I30" s="12"/>
      <c r="J30" s="12"/>
      <c r="K30" s="12"/>
      <c r="L30" s="12"/>
      <c r="M30" s="12"/>
      <c r="N30" s="12"/>
      <c r="O30" s="12"/>
      <c r="P30" s="12"/>
      <c r="Q30" s="12"/>
    </row>
    <row r="31" customFormat="false" ht="15" hidden="false" customHeight="false" outlineLevel="0" collapsed="false">
      <c r="A31" s="12"/>
      <c r="B31" s="12"/>
      <c r="C31" s="12"/>
      <c r="D31" s="12"/>
      <c r="E31" s="12"/>
      <c r="F31" s="12"/>
      <c r="G31" s="12"/>
      <c r="H31" s="12"/>
      <c r="I31" s="12"/>
      <c r="J31" s="12"/>
      <c r="K31" s="12"/>
      <c r="L31" s="12"/>
      <c r="M31" s="12"/>
      <c r="N31" s="12"/>
      <c r="O31" s="12"/>
      <c r="P31" s="12"/>
      <c r="Q31" s="12"/>
    </row>
    <row r="32" customFormat="false" ht="15" hidden="false" customHeight="false" outlineLevel="0" collapsed="false">
      <c r="A32" s="12"/>
      <c r="B32" s="12"/>
      <c r="C32" s="12"/>
      <c r="D32" s="12"/>
      <c r="E32" s="12"/>
      <c r="F32" s="12"/>
      <c r="G32" s="12"/>
      <c r="H32" s="12"/>
      <c r="I32" s="12"/>
      <c r="J32" s="12"/>
      <c r="K32" s="12"/>
      <c r="L32" s="12"/>
      <c r="M32" s="12"/>
      <c r="N32" s="12"/>
      <c r="O32" s="12"/>
      <c r="P32" s="12"/>
      <c r="Q32" s="12"/>
    </row>
    <row r="33" customFormat="false" ht="15" hidden="false" customHeight="false" outlineLevel="0" collapsed="false">
      <c r="A33" s="12"/>
      <c r="B33" s="12"/>
      <c r="C33" s="12"/>
      <c r="D33" s="12"/>
      <c r="E33" s="12"/>
      <c r="F33" s="12"/>
      <c r="G33" s="12"/>
      <c r="H33" s="12"/>
      <c r="I33" s="12"/>
      <c r="J33" s="12"/>
      <c r="K33" s="12"/>
      <c r="L33" s="12"/>
      <c r="M33" s="12"/>
      <c r="N33" s="12"/>
      <c r="O33" s="12"/>
      <c r="P33" s="12"/>
      <c r="Q33" s="12"/>
    </row>
    <row r="34" customFormat="false" ht="15" hidden="false" customHeight="false" outlineLevel="0" collapsed="false">
      <c r="A34" s="12"/>
      <c r="B34" s="12"/>
      <c r="C34" s="12"/>
      <c r="D34" s="12"/>
      <c r="E34" s="12"/>
      <c r="F34" s="12"/>
      <c r="G34" s="12"/>
      <c r="H34" s="12"/>
      <c r="I34" s="12"/>
      <c r="J34" s="12"/>
      <c r="K34" s="12"/>
      <c r="L34" s="12"/>
      <c r="M34" s="12"/>
      <c r="N34" s="12"/>
      <c r="O34" s="12"/>
      <c r="P34" s="12"/>
      <c r="Q34" s="12"/>
    </row>
    <row r="35" customFormat="false" ht="15" hidden="false" customHeight="false" outlineLevel="0" collapsed="false">
      <c r="A35" s="12"/>
      <c r="B35" s="12"/>
      <c r="C35" s="12"/>
      <c r="D35" s="12"/>
      <c r="E35" s="12"/>
      <c r="F35" s="12"/>
      <c r="G35" s="12"/>
      <c r="H35" s="12"/>
      <c r="I35" s="12"/>
      <c r="J35" s="12"/>
      <c r="K35" s="12"/>
      <c r="L35" s="12"/>
      <c r="M35" s="12"/>
      <c r="N35" s="12"/>
      <c r="O35" s="12"/>
      <c r="P35" s="12"/>
      <c r="Q35" s="12"/>
    </row>
    <row r="36" customFormat="false" ht="15" hidden="false" customHeight="false" outlineLevel="0" collapsed="false">
      <c r="A36" s="12"/>
      <c r="B36" s="12"/>
      <c r="C36" s="12"/>
      <c r="D36" s="12"/>
      <c r="E36" s="12"/>
      <c r="F36" s="12"/>
      <c r="G36" s="12"/>
      <c r="H36" s="12"/>
      <c r="I36" s="12"/>
      <c r="J36" s="12"/>
      <c r="K36" s="12"/>
      <c r="L36" s="12"/>
      <c r="M36" s="12"/>
      <c r="N36" s="12"/>
      <c r="O36" s="12"/>
      <c r="P36" s="12"/>
      <c r="Q36" s="12"/>
    </row>
    <row r="37" customFormat="false" ht="15" hidden="false" customHeight="false" outlineLevel="0" collapsed="false">
      <c r="A37" s="12"/>
      <c r="B37" s="12"/>
      <c r="C37" s="12"/>
      <c r="D37" s="12"/>
      <c r="E37" s="12"/>
      <c r="F37" s="12"/>
      <c r="G37" s="12"/>
      <c r="H37" s="12"/>
      <c r="I37" s="12"/>
      <c r="J37" s="12"/>
      <c r="K37" s="12"/>
      <c r="L37" s="12"/>
      <c r="M37" s="12"/>
      <c r="N37" s="12"/>
      <c r="O37" s="12"/>
      <c r="P37" s="12"/>
      <c r="Q37" s="12"/>
    </row>
    <row r="38" customFormat="false" ht="15" hidden="false" customHeight="false" outlineLevel="0" collapsed="false">
      <c r="A38" s="12"/>
      <c r="B38" s="12"/>
      <c r="C38" s="12"/>
      <c r="D38" s="12"/>
      <c r="E38" s="12"/>
      <c r="F38" s="12"/>
      <c r="G38" s="12"/>
      <c r="H38" s="12"/>
      <c r="I38" s="12"/>
      <c r="J38" s="12"/>
      <c r="K38" s="12"/>
      <c r="L38" s="12"/>
      <c r="M38" s="12"/>
      <c r="N38" s="12"/>
      <c r="O38" s="12"/>
      <c r="P38" s="12"/>
      <c r="Q38" s="12"/>
    </row>
    <row r="39" customFormat="false" ht="15" hidden="false" customHeight="false" outlineLevel="0" collapsed="false">
      <c r="A39" s="12"/>
      <c r="B39" s="12"/>
      <c r="C39" s="12"/>
      <c r="D39" s="12"/>
      <c r="E39" s="12"/>
      <c r="F39" s="12"/>
      <c r="G39" s="12"/>
      <c r="H39" s="12"/>
      <c r="I39" s="12"/>
      <c r="J39" s="12"/>
      <c r="K39" s="12"/>
      <c r="L39" s="12"/>
      <c r="M39" s="12"/>
      <c r="N39" s="12"/>
      <c r="O39" s="12"/>
      <c r="P39" s="12"/>
      <c r="Q39" s="12"/>
    </row>
    <row r="40" customFormat="false" ht="15" hidden="false" customHeight="false" outlineLevel="0" collapsed="false">
      <c r="A40" s="12"/>
      <c r="B40" s="12"/>
      <c r="C40" s="12"/>
      <c r="D40" s="12"/>
      <c r="E40" s="12"/>
      <c r="F40" s="12"/>
      <c r="G40" s="12"/>
      <c r="H40" s="12"/>
      <c r="I40" s="12"/>
      <c r="J40" s="12"/>
      <c r="K40" s="12"/>
      <c r="L40" s="12"/>
      <c r="M40" s="12"/>
      <c r="N40" s="12"/>
      <c r="O40" s="12"/>
      <c r="P40" s="12"/>
      <c r="Q40" s="12"/>
    </row>
    <row r="41" customFormat="false" ht="15" hidden="false" customHeight="false" outlineLevel="0" collapsed="false">
      <c r="A41" s="12"/>
      <c r="B41" s="12"/>
      <c r="C41" s="12"/>
      <c r="D41" s="12"/>
      <c r="E41" s="12"/>
      <c r="F41" s="12"/>
      <c r="G41" s="12"/>
      <c r="H41" s="12"/>
      <c r="I41" s="12"/>
      <c r="J41" s="12"/>
      <c r="K41" s="12"/>
      <c r="L41" s="12"/>
      <c r="M41" s="12"/>
      <c r="N41" s="12"/>
      <c r="O41" s="12"/>
      <c r="P41" s="12"/>
      <c r="Q41" s="12"/>
    </row>
    <row r="42" customFormat="false" ht="15" hidden="false" customHeight="false" outlineLevel="0" collapsed="false">
      <c r="A42" s="12"/>
      <c r="B42" s="12"/>
      <c r="C42" s="12"/>
      <c r="D42" s="12"/>
      <c r="E42" s="12"/>
      <c r="F42" s="12"/>
      <c r="G42" s="12"/>
      <c r="H42" s="12"/>
      <c r="I42" s="12"/>
      <c r="J42" s="12"/>
      <c r="K42" s="12"/>
      <c r="L42" s="12"/>
      <c r="M42" s="12"/>
      <c r="N42" s="12"/>
      <c r="O42" s="12"/>
      <c r="P42" s="12"/>
      <c r="Q42" s="12"/>
    </row>
    <row r="43" customFormat="false" ht="15" hidden="false" customHeight="false" outlineLevel="0" collapsed="false">
      <c r="A43" s="12"/>
      <c r="B43" s="12"/>
      <c r="C43" s="12"/>
      <c r="D43" s="12"/>
      <c r="E43" s="12"/>
      <c r="F43" s="12"/>
      <c r="G43" s="12"/>
      <c r="H43" s="12"/>
      <c r="I43" s="12"/>
      <c r="J43" s="12"/>
      <c r="K43" s="12"/>
      <c r="L43" s="12"/>
      <c r="M43" s="12"/>
      <c r="N43" s="12"/>
      <c r="O43" s="12"/>
      <c r="P43" s="12"/>
      <c r="Q43" s="12"/>
    </row>
    <row r="44" customFormat="false" ht="15" hidden="false" customHeight="false" outlineLevel="0" collapsed="false">
      <c r="A44" s="12"/>
      <c r="B44" s="12"/>
      <c r="C44" s="12"/>
      <c r="D44" s="12"/>
      <c r="E44" s="12"/>
      <c r="F44" s="12"/>
      <c r="G44" s="12"/>
      <c r="H44" s="12"/>
      <c r="I44" s="12"/>
      <c r="J44" s="12"/>
      <c r="K44" s="12"/>
      <c r="L44" s="12"/>
      <c r="M44" s="12"/>
      <c r="N44" s="12"/>
      <c r="O44" s="12"/>
      <c r="P44" s="12"/>
      <c r="Q44" s="12"/>
    </row>
    <row r="45" customFormat="false" ht="15" hidden="false" customHeight="false" outlineLevel="0" collapsed="false">
      <c r="A45" s="12"/>
      <c r="B45" s="12"/>
      <c r="C45" s="12"/>
      <c r="D45" s="12"/>
      <c r="E45" s="12"/>
      <c r="F45" s="12"/>
      <c r="G45" s="12"/>
      <c r="H45" s="12"/>
      <c r="I45" s="12"/>
      <c r="J45" s="12"/>
      <c r="K45" s="12"/>
      <c r="L45" s="12"/>
      <c r="M45" s="12"/>
      <c r="N45" s="12"/>
      <c r="O45" s="12"/>
      <c r="P45" s="12"/>
      <c r="Q45" s="12"/>
    </row>
    <row r="46" customFormat="false" ht="15" hidden="false" customHeight="false" outlineLevel="0" collapsed="false">
      <c r="A46" s="12"/>
      <c r="B46" s="12"/>
      <c r="C46" s="12"/>
      <c r="D46" s="12"/>
      <c r="E46" s="12"/>
      <c r="F46" s="12"/>
      <c r="G46" s="12"/>
      <c r="H46" s="12"/>
      <c r="I46" s="12"/>
      <c r="J46" s="12"/>
      <c r="K46" s="12"/>
      <c r="L46" s="12"/>
      <c r="M46" s="12"/>
      <c r="N46" s="12"/>
      <c r="O46" s="12"/>
      <c r="P46" s="12"/>
      <c r="Q46" s="12"/>
    </row>
    <row r="47" customFormat="false" ht="15" hidden="false" customHeight="false" outlineLevel="0" collapsed="false">
      <c r="A47" s="12"/>
      <c r="B47" s="12"/>
      <c r="C47" s="12"/>
      <c r="D47" s="12"/>
      <c r="E47" s="12"/>
      <c r="F47" s="12"/>
      <c r="G47" s="12"/>
      <c r="H47" s="12"/>
      <c r="I47" s="12"/>
      <c r="J47" s="12"/>
      <c r="K47" s="12"/>
      <c r="L47" s="12"/>
      <c r="M47" s="12"/>
      <c r="N47" s="12"/>
      <c r="O47" s="12"/>
      <c r="P47" s="12"/>
      <c r="Q47" s="12"/>
    </row>
    <row r="48" customFormat="false" ht="15" hidden="false" customHeight="false" outlineLevel="0" collapsed="false">
      <c r="A48" s="12"/>
      <c r="B48" s="12"/>
      <c r="C48" s="12"/>
      <c r="D48" s="12"/>
      <c r="E48" s="12"/>
      <c r="F48" s="12"/>
      <c r="G48" s="12"/>
      <c r="H48" s="12"/>
      <c r="I48" s="12"/>
      <c r="J48" s="12"/>
      <c r="K48" s="12"/>
      <c r="L48" s="12"/>
      <c r="M48" s="12"/>
      <c r="N48" s="12"/>
      <c r="O48" s="12"/>
      <c r="P48" s="12"/>
      <c r="Q48" s="12"/>
    </row>
    <row r="49" customFormat="false" ht="15" hidden="false" customHeight="false" outlineLevel="0" collapsed="false">
      <c r="A49" s="12"/>
      <c r="B49" s="12"/>
      <c r="C49" s="12"/>
      <c r="D49" s="12"/>
      <c r="E49" s="12"/>
      <c r="F49" s="12"/>
      <c r="G49" s="12"/>
      <c r="H49" s="12"/>
      <c r="I49" s="12"/>
      <c r="J49" s="12"/>
      <c r="K49" s="12"/>
      <c r="L49" s="12"/>
      <c r="M49" s="12"/>
      <c r="N49" s="12"/>
      <c r="O49" s="12"/>
      <c r="P49" s="12"/>
      <c r="Q49" s="12"/>
    </row>
    <row r="50" customFormat="false" ht="15" hidden="false" customHeight="false" outlineLevel="0" collapsed="false">
      <c r="A50" s="12"/>
      <c r="B50" s="12"/>
      <c r="C50" s="12"/>
      <c r="D50" s="12"/>
      <c r="E50" s="12"/>
      <c r="F50" s="12"/>
      <c r="G50" s="12"/>
      <c r="H50" s="12"/>
      <c r="I50" s="12"/>
      <c r="J50" s="12"/>
      <c r="K50" s="12"/>
      <c r="L50" s="12"/>
      <c r="M50" s="12"/>
      <c r="N50" s="12"/>
      <c r="O50" s="12"/>
      <c r="P50" s="12"/>
      <c r="Q50" s="12"/>
    </row>
    <row r="51" customFormat="false" ht="15" hidden="false" customHeight="false" outlineLevel="0" collapsed="false">
      <c r="A51" s="12"/>
      <c r="B51" s="12"/>
      <c r="C51" s="12"/>
      <c r="D51" s="12"/>
      <c r="E51" s="12"/>
      <c r="F51" s="12"/>
      <c r="G51" s="12"/>
      <c r="H51" s="12"/>
      <c r="I51" s="12"/>
      <c r="J51" s="12"/>
      <c r="K51" s="12"/>
      <c r="L51" s="12"/>
      <c r="M51" s="12"/>
      <c r="N51" s="12"/>
      <c r="O51" s="12"/>
      <c r="P51" s="12"/>
      <c r="Q51" s="12"/>
    </row>
  </sheetData>
  <autoFilter ref="A1:Q51"/>
  <dataValidations count="4">
    <dataValidation allowBlank="true" error="Pick a value from the list" errorStyle="stop" errorTitle="Invalid value" operator="between" showDropDown="false" showErrorMessage="false" showInputMessage="false" sqref="A3:A51" type="list">
      <formula1>"rPET,rWood,Booths,Textile (Interior/Solid/Divide),General"</formula1>
      <formula2>0</formula2>
    </dataValidation>
    <dataValidation allowBlank="true" error="Pick a value from the list" errorStyle="stop" errorTitle="Invalid value" operator="between" showDropDown="false" showErrorMessage="false" showInputMessage="false" sqref="C3:C51" type="list">
      <formula1>"en,nl,fr,de,es,pt,da,sv,no,is"</formula1>
      <formula2>0</formula2>
    </dataValidation>
    <dataValidation allowBlank="true" error="Pick a value from the list" errorStyle="stop" errorTitle="Invalid value" operator="between" showDropDown="false" showErrorMessage="false" showInputMessage="false" sqref="Q3:Q51" type="list">
      <formula1>"Backlog,Briefed,Drafting,Review,Translation,Ready for dev,Live,On hold"</formula1>
      <formula2>0</formula2>
    </dataValidation>
    <dataValidation allowBlank="true" error="Pick a value from the list" errorStyle="stop" errorTitle="Invalid value" operator="between" showDropDown="false" showErrorMessage="false" showInputMessage="false" sqref="B3:B51" type="list">
      <formula1>"datasheet,colours,fire-safety,installation,specification,faq"</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6"/>
    <col collapsed="false" customWidth="true" hidden="false" outlineLevel="0" max="4" min="4" style="0" width="18"/>
    <col collapsed="false" customWidth="true" hidden="false" outlineLevel="0" max="10" min="5" style="0" width="9"/>
    <col collapsed="false" customWidth="true" hidden="false" outlineLevel="0" max="11" min="11" style="0" width="12"/>
    <col collapsed="false" customWidth="true" hidden="false" outlineLevel="0" max="13" min="12" style="0" width="10"/>
    <col collapsed="false" customWidth="true" hidden="false" outlineLevel="0" max="14" min="14" style="0" width="14"/>
    <col collapsed="false" customWidth="true" hidden="false" outlineLevel="0" max="16" min="15" style="0" width="16"/>
    <col collapsed="false" customWidth="true" hidden="false" outlineLevel="0" max="17" min="17" style="0" width="12"/>
    <col collapsed="false" customWidth="true" hidden="false" outlineLevel="0" max="18" min="18" style="0" width="34"/>
    <col collapsed="false" customWidth="true" hidden="false" outlineLevel="0" max="19" min="19" style="0" width="30"/>
  </cols>
  <sheetData>
    <row r="1" customFormat="false" ht="31.5" hidden="false" customHeight="true" outlineLevel="0" collapsed="false">
      <c r="A1" s="4" t="s">
        <v>390</v>
      </c>
      <c r="B1" s="4" t="s">
        <v>663</v>
      </c>
      <c r="C1" s="4" t="s">
        <v>664</v>
      </c>
      <c r="D1" s="4" t="s">
        <v>665</v>
      </c>
      <c r="E1" s="4" t="s">
        <v>666</v>
      </c>
      <c r="F1" s="4" t="s">
        <v>667</v>
      </c>
      <c r="G1" s="4" t="s">
        <v>668</v>
      </c>
      <c r="H1" s="4" t="s">
        <v>669</v>
      </c>
      <c r="I1" s="4" t="s">
        <v>670</v>
      </c>
      <c r="J1" s="4" t="s">
        <v>671</v>
      </c>
      <c r="K1" s="4" t="s">
        <v>672</v>
      </c>
      <c r="L1" s="4" t="s">
        <v>673</v>
      </c>
      <c r="M1" s="4" t="s">
        <v>674</v>
      </c>
      <c r="N1" s="4" t="s">
        <v>675</v>
      </c>
      <c r="O1" s="4" t="s">
        <v>676</v>
      </c>
      <c r="P1" s="4" t="s">
        <v>677</v>
      </c>
      <c r="Q1" s="4" t="s">
        <v>678</v>
      </c>
      <c r="R1" s="4" t="s">
        <v>679</v>
      </c>
      <c r="S1" s="4" t="s">
        <v>31</v>
      </c>
    </row>
    <row r="2" customFormat="false" ht="63.75" hidden="false" customHeight="true" outlineLevel="0" collapsed="false">
      <c r="A2" s="7" t="s">
        <v>427</v>
      </c>
      <c r="B2" s="7" t="s">
        <v>680</v>
      </c>
      <c r="C2" s="7" t="s">
        <v>681</v>
      </c>
      <c r="D2" s="7" t="s">
        <v>682</v>
      </c>
      <c r="E2" s="7" t="s">
        <v>434</v>
      </c>
      <c r="F2" s="7"/>
      <c r="G2" s="7"/>
      <c r="H2" s="7"/>
      <c r="I2" s="7"/>
      <c r="J2" s="7"/>
      <c r="K2" s="7" t="s">
        <v>683</v>
      </c>
      <c r="L2" s="7" t="s">
        <v>684</v>
      </c>
      <c r="M2" s="7" t="s">
        <v>436</v>
      </c>
      <c r="N2" s="7" t="s">
        <v>685</v>
      </c>
      <c r="O2" s="7"/>
      <c r="P2" s="7"/>
      <c r="Q2" s="7" t="s">
        <v>43</v>
      </c>
      <c r="R2" s="7" t="s">
        <v>454</v>
      </c>
      <c r="S2" s="7"/>
    </row>
    <row r="3" customFormat="false" ht="48" hidden="false" customHeight="true" outlineLevel="0" collapsed="false">
      <c r="A3" s="10" t="s">
        <v>456</v>
      </c>
      <c r="B3" s="10" t="s">
        <v>686</v>
      </c>
      <c r="C3" s="10" t="s">
        <v>687</v>
      </c>
      <c r="D3" s="10" t="s">
        <v>688</v>
      </c>
      <c r="E3" s="10" t="n">
        <v>0.25</v>
      </c>
      <c r="F3" s="10" t="n">
        <v>0.55</v>
      </c>
      <c r="G3" s="10" t="n">
        <v>0.85</v>
      </c>
      <c r="H3" s="10" t="n">
        <v>0.95</v>
      </c>
      <c r="I3" s="10" t="n">
        <v>0.9</v>
      </c>
      <c r="J3" s="10" t="n">
        <v>0.85</v>
      </c>
      <c r="K3" s="14" t="n">
        <f aca="false">IF(COUNT(F3:I3)&lt;4,"",ROUND(AVERAGE(F3:I3)/0.05,0)*0.05)</f>
        <v>0.8</v>
      </c>
      <c r="L3" s="10" t="n">
        <v>0.85</v>
      </c>
      <c r="M3" s="10" t="s">
        <v>461</v>
      </c>
      <c r="N3" s="10" t="s">
        <v>689</v>
      </c>
      <c r="O3" s="10" t="s">
        <v>690</v>
      </c>
      <c r="P3" s="10" t="s">
        <v>691</v>
      </c>
      <c r="Q3" s="10" t="s">
        <v>692</v>
      </c>
      <c r="R3" s="10" t="s">
        <v>471</v>
      </c>
      <c r="S3" s="10" t="s">
        <v>693</v>
      </c>
    </row>
    <row r="4" customFormat="false" ht="15" hidden="false" customHeight="false" outlineLevel="0" collapsed="false">
      <c r="A4" s="11" t="s">
        <v>479</v>
      </c>
      <c r="B4" s="12"/>
      <c r="C4" s="12"/>
      <c r="D4" s="12"/>
      <c r="E4" s="12"/>
      <c r="F4" s="12"/>
      <c r="G4" s="12"/>
      <c r="H4" s="12"/>
      <c r="I4" s="12"/>
      <c r="J4" s="12"/>
      <c r="K4" s="14" t="str">
        <f aca="false">IF(COUNT(F4:I4)&lt;4,"",ROUND(AVERAGE(F4:I4)/0.05,0)*0.05)</f>
        <v/>
      </c>
      <c r="L4" s="12"/>
      <c r="M4" s="12"/>
      <c r="N4" s="12"/>
      <c r="O4" s="12"/>
      <c r="P4" s="12"/>
      <c r="Q4" s="12"/>
      <c r="R4" s="12"/>
      <c r="S4" s="12"/>
    </row>
    <row r="5" customFormat="false" ht="15" hidden="false" customHeight="false" outlineLevel="0" collapsed="false">
      <c r="A5" s="11" t="s">
        <v>493</v>
      </c>
      <c r="B5" s="12"/>
      <c r="C5" s="12"/>
      <c r="D5" s="12"/>
      <c r="E5" s="12"/>
      <c r="F5" s="12"/>
      <c r="G5" s="12"/>
      <c r="H5" s="12"/>
      <c r="I5" s="12"/>
      <c r="J5" s="12"/>
      <c r="K5" s="14" t="str">
        <f aca="false">IF(COUNT(F5:I5)&lt;4,"",ROUND(AVERAGE(F5:I5)/0.05,0)*0.05)</f>
        <v/>
      </c>
      <c r="L5" s="12"/>
      <c r="M5" s="12"/>
      <c r="N5" s="12"/>
      <c r="O5" s="12"/>
      <c r="P5" s="12"/>
      <c r="Q5" s="12"/>
      <c r="R5" s="12"/>
      <c r="S5" s="12"/>
    </row>
    <row r="6" customFormat="false" ht="15" hidden="false" customHeight="false" outlineLevel="0" collapsed="false">
      <c r="A6" s="11" t="s">
        <v>504</v>
      </c>
      <c r="B6" s="12"/>
      <c r="C6" s="12"/>
      <c r="D6" s="12"/>
      <c r="E6" s="12"/>
      <c r="F6" s="12"/>
      <c r="G6" s="12"/>
      <c r="H6" s="12"/>
      <c r="I6" s="12"/>
      <c r="J6" s="12"/>
      <c r="K6" s="14" t="str">
        <f aca="false">IF(COUNT(F6:I6)&lt;4,"",ROUND(AVERAGE(F6:I6)/0.05,0)*0.05)</f>
        <v/>
      </c>
      <c r="L6" s="12"/>
      <c r="M6" s="12"/>
      <c r="N6" s="12"/>
      <c r="O6" s="12"/>
      <c r="P6" s="12"/>
      <c r="Q6" s="12"/>
      <c r="R6" s="12"/>
      <c r="S6" s="12"/>
    </row>
    <row r="7" customFormat="false" ht="15" hidden="false" customHeight="false" outlineLevel="0" collapsed="false">
      <c r="A7" s="11" t="s">
        <v>514</v>
      </c>
      <c r="B7" s="12"/>
      <c r="C7" s="12"/>
      <c r="D7" s="12"/>
      <c r="E7" s="12"/>
      <c r="F7" s="12"/>
      <c r="G7" s="12"/>
      <c r="H7" s="12"/>
      <c r="I7" s="12"/>
      <c r="J7" s="12"/>
      <c r="K7" s="14" t="str">
        <f aca="false">IF(COUNT(F7:I7)&lt;4,"",ROUND(AVERAGE(F7:I7)/0.05,0)*0.05)</f>
        <v/>
      </c>
      <c r="L7" s="12"/>
      <c r="M7" s="12"/>
      <c r="N7" s="12"/>
      <c r="O7" s="12"/>
      <c r="P7" s="12"/>
      <c r="Q7" s="12"/>
      <c r="R7" s="12"/>
      <c r="S7" s="12"/>
    </row>
    <row r="8" customFormat="false" ht="15" hidden="false" customHeight="false" outlineLevel="0" collapsed="false">
      <c r="A8" s="11" t="s">
        <v>527</v>
      </c>
      <c r="B8" s="12"/>
      <c r="C8" s="12"/>
      <c r="D8" s="12"/>
      <c r="E8" s="12"/>
      <c r="F8" s="12"/>
      <c r="G8" s="12"/>
      <c r="H8" s="12"/>
      <c r="I8" s="12"/>
      <c r="J8" s="12"/>
      <c r="K8" s="14" t="str">
        <f aca="false">IF(COUNT(F8:I8)&lt;4,"",ROUND(AVERAGE(F8:I8)/0.05,0)*0.05)</f>
        <v/>
      </c>
      <c r="L8" s="12"/>
      <c r="M8" s="12"/>
      <c r="N8" s="12"/>
      <c r="O8" s="12"/>
      <c r="P8" s="12"/>
      <c r="Q8" s="12"/>
      <c r="R8" s="12"/>
      <c r="S8" s="12"/>
    </row>
    <row r="9" customFormat="false" ht="15" hidden="false" customHeight="false" outlineLevel="0" collapsed="false">
      <c r="A9" s="11" t="s">
        <v>536</v>
      </c>
      <c r="B9" s="12"/>
      <c r="C9" s="12"/>
      <c r="D9" s="12"/>
      <c r="E9" s="12"/>
      <c r="F9" s="12"/>
      <c r="G9" s="12"/>
      <c r="H9" s="12"/>
      <c r="I9" s="12"/>
      <c r="J9" s="12"/>
      <c r="K9" s="14" t="str">
        <f aca="false">IF(COUNT(F9:I9)&lt;4,"",ROUND(AVERAGE(F9:I9)/0.05,0)*0.05)</f>
        <v/>
      </c>
      <c r="L9" s="12"/>
      <c r="M9" s="12"/>
      <c r="N9" s="12"/>
      <c r="O9" s="12"/>
      <c r="P9" s="12"/>
      <c r="Q9" s="12"/>
      <c r="R9" s="12"/>
      <c r="S9" s="12"/>
    </row>
    <row r="10" customFormat="false" ht="15" hidden="false" customHeight="false" outlineLevel="0" collapsed="false">
      <c r="A10" s="11" t="s">
        <v>545</v>
      </c>
      <c r="B10" s="12"/>
      <c r="C10" s="12"/>
      <c r="D10" s="12"/>
      <c r="E10" s="12"/>
      <c r="F10" s="12"/>
      <c r="G10" s="12"/>
      <c r="H10" s="12"/>
      <c r="I10" s="12"/>
      <c r="J10" s="12"/>
      <c r="K10" s="14" t="str">
        <f aca="false">IF(COUNT(F10:I10)&lt;4,"",ROUND(AVERAGE(F10:I10)/0.05,0)*0.05)</f>
        <v/>
      </c>
      <c r="L10" s="12"/>
      <c r="M10" s="12"/>
      <c r="N10" s="12"/>
      <c r="O10" s="12"/>
      <c r="P10" s="12"/>
      <c r="Q10" s="12"/>
      <c r="R10" s="12"/>
      <c r="S10" s="12"/>
    </row>
    <row r="11" customFormat="false" ht="15" hidden="false" customHeight="false" outlineLevel="0" collapsed="false">
      <c r="A11" s="11" t="s">
        <v>556</v>
      </c>
      <c r="B11" s="12"/>
      <c r="C11" s="12"/>
      <c r="D11" s="12"/>
      <c r="E11" s="12"/>
      <c r="F11" s="12"/>
      <c r="G11" s="12"/>
      <c r="H11" s="12"/>
      <c r="I11" s="12"/>
      <c r="J11" s="12"/>
      <c r="K11" s="14" t="str">
        <f aca="false">IF(COUNT(F11:I11)&lt;4,"",ROUND(AVERAGE(F11:I11)/0.05,0)*0.05)</f>
        <v/>
      </c>
      <c r="L11" s="12"/>
      <c r="M11" s="12"/>
      <c r="N11" s="12"/>
      <c r="O11" s="12"/>
      <c r="P11" s="12"/>
      <c r="Q11" s="12"/>
      <c r="R11" s="12"/>
      <c r="S11" s="12"/>
    </row>
    <row r="12" customFormat="false" ht="15" hidden="false" customHeight="false" outlineLevel="0" collapsed="false">
      <c r="A12" s="11" t="s">
        <v>456</v>
      </c>
      <c r="B12" s="12"/>
      <c r="C12" s="12"/>
      <c r="D12" s="12"/>
      <c r="E12" s="12"/>
      <c r="F12" s="12"/>
      <c r="G12" s="12"/>
      <c r="H12" s="12"/>
      <c r="I12" s="12"/>
      <c r="J12" s="12"/>
      <c r="K12" s="14" t="str">
        <f aca="false">IF(COUNT(F12:I12)&lt;4,"",ROUND(AVERAGE(F12:I12)/0.05,0)*0.05)</f>
        <v/>
      </c>
      <c r="L12" s="12"/>
      <c r="M12" s="12"/>
      <c r="N12" s="12"/>
      <c r="O12" s="12"/>
      <c r="P12" s="12"/>
      <c r="Q12" s="12"/>
      <c r="R12" s="12"/>
      <c r="S12" s="12"/>
    </row>
    <row r="13" customFormat="false" ht="15" hidden="false" customHeight="false" outlineLevel="0" collapsed="false">
      <c r="A13" s="11" t="s">
        <v>567</v>
      </c>
      <c r="B13" s="12"/>
      <c r="C13" s="12"/>
      <c r="D13" s="12"/>
      <c r="E13" s="12"/>
      <c r="F13" s="12"/>
      <c r="G13" s="12"/>
      <c r="H13" s="12"/>
      <c r="I13" s="12"/>
      <c r="J13" s="12"/>
      <c r="K13" s="14" t="str">
        <f aca="false">IF(COUNT(F13:I13)&lt;4,"",ROUND(AVERAGE(F13:I13)/0.05,0)*0.05)</f>
        <v/>
      </c>
      <c r="L13" s="12"/>
      <c r="M13" s="12"/>
      <c r="N13" s="12"/>
      <c r="O13" s="12"/>
      <c r="P13" s="12"/>
      <c r="Q13" s="12"/>
      <c r="R13" s="12"/>
      <c r="S13" s="12"/>
    </row>
    <row r="14" customFormat="false" ht="15" hidden="false" customHeight="false" outlineLevel="0" collapsed="false">
      <c r="A14" s="12"/>
      <c r="B14" s="12"/>
      <c r="C14" s="12"/>
      <c r="D14" s="12"/>
      <c r="E14" s="12"/>
      <c r="F14" s="12"/>
      <c r="G14" s="12"/>
      <c r="H14" s="12"/>
      <c r="I14" s="12"/>
      <c r="J14" s="12"/>
      <c r="K14" s="14" t="str">
        <f aca="false">IF(COUNT(F14:I14)&lt;4,"",ROUND(AVERAGE(F14:I14)/0.05,0)*0.05)</f>
        <v/>
      </c>
      <c r="L14" s="12"/>
      <c r="M14" s="12"/>
      <c r="N14" s="12"/>
      <c r="O14" s="12"/>
      <c r="P14" s="12"/>
      <c r="Q14" s="12"/>
      <c r="R14" s="12"/>
      <c r="S14" s="12"/>
    </row>
    <row r="15" customFormat="false" ht="15" hidden="false" customHeight="false" outlineLevel="0" collapsed="false">
      <c r="A15" s="12"/>
      <c r="B15" s="12"/>
      <c r="C15" s="12"/>
      <c r="D15" s="12"/>
      <c r="E15" s="12"/>
      <c r="F15" s="12"/>
      <c r="G15" s="12"/>
      <c r="H15" s="12"/>
      <c r="I15" s="12"/>
      <c r="J15" s="12"/>
      <c r="K15" s="14" t="str">
        <f aca="false">IF(COUNT(F15:I15)&lt;4,"",ROUND(AVERAGE(F15:I15)/0.05,0)*0.05)</f>
        <v/>
      </c>
      <c r="L15" s="12"/>
      <c r="M15" s="12"/>
      <c r="N15" s="12"/>
      <c r="O15" s="12"/>
      <c r="P15" s="12"/>
      <c r="Q15" s="12"/>
      <c r="R15" s="12"/>
      <c r="S15" s="12"/>
    </row>
    <row r="16" customFormat="false" ht="15" hidden="false" customHeight="false" outlineLevel="0" collapsed="false">
      <c r="A16" s="12"/>
      <c r="B16" s="12"/>
      <c r="C16" s="12"/>
      <c r="D16" s="12"/>
      <c r="E16" s="12"/>
      <c r="F16" s="12"/>
      <c r="G16" s="12"/>
      <c r="H16" s="12"/>
      <c r="I16" s="12"/>
      <c r="J16" s="12"/>
      <c r="K16" s="14" t="str">
        <f aca="false">IF(COUNT(F16:I16)&lt;4,"",ROUND(AVERAGE(F16:I16)/0.05,0)*0.05)</f>
        <v/>
      </c>
      <c r="L16" s="12"/>
      <c r="M16" s="12"/>
      <c r="N16" s="12"/>
      <c r="O16" s="12"/>
      <c r="P16" s="12"/>
      <c r="Q16" s="12"/>
      <c r="R16" s="12"/>
      <c r="S16" s="12"/>
    </row>
    <row r="17" customFormat="false" ht="15" hidden="false" customHeight="false" outlineLevel="0" collapsed="false">
      <c r="A17" s="12"/>
      <c r="B17" s="12"/>
      <c r="C17" s="12"/>
      <c r="D17" s="12"/>
      <c r="E17" s="12"/>
      <c r="F17" s="12"/>
      <c r="G17" s="12"/>
      <c r="H17" s="12"/>
      <c r="I17" s="12"/>
      <c r="J17" s="12"/>
      <c r="K17" s="14" t="str">
        <f aca="false">IF(COUNT(F17:I17)&lt;4,"",ROUND(AVERAGE(F17:I17)/0.05,0)*0.05)</f>
        <v/>
      </c>
      <c r="L17" s="12"/>
      <c r="M17" s="12"/>
      <c r="N17" s="12"/>
      <c r="O17" s="12"/>
      <c r="P17" s="12"/>
      <c r="Q17" s="12"/>
      <c r="R17" s="12"/>
      <c r="S17" s="12"/>
    </row>
    <row r="18" customFormat="false" ht="15" hidden="false" customHeight="false" outlineLevel="0" collapsed="false">
      <c r="A18" s="12"/>
      <c r="B18" s="12"/>
      <c r="C18" s="12"/>
      <c r="D18" s="12"/>
      <c r="E18" s="12"/>
      <c r="F18" s="12"/>
      <c r="G18" s="12"/>
      <c r="H18" s="12"/>
      <c r="I18" s="12"/>
      <c r="J18" s="12"/>
      <c r="K18" s="14" t="str">
        <f aca="false">IF(COUNT(F18:I18)&lt;4,"",ROUND(AVERAGE(F18:I18)/0.05,0)*0.05)</f>
        <v/>
      </c>
      <c r="L18" s="12"/>
      <c r="M18" s="12"/>
      <c r="N18" s="12"/>
      <c r="O18" s="12"/>
      <c r="P18" s="12"/>
      <c r="Q18" s="12"/>
      <c r="R18" s="12"/>
      <c r="S18" s="12"/>
    </row>
    <row r="19" customFormat="false" ht="15" hidden="false" customHeight="false" outlineLevel="0" collapsed="false">
      <c r="A19" s="12"/>
      <c r="B19" s="12"/>
      <c r="C19" s="12"/>
      <c r="D19" s="12"/>
      <c r="E19" s="12"/>
      <c r="F19" s="12"/>
      <c r="G19" s="12"/>
      <c r="H19" s="12"/>
      <c r="I19" s="12"/>
      <c r="J19" s="12"/>
      <c r="K19" s="14" t="str">
        <f aca="false">IF(COUNT(F19:I19)&lt;4,"",ROUND(AVERAGE(F19:I19)/0.05,0)*0.05)</f>
        <v/>
      </c>
      <c r="L19" s="12"/>
      <c r="M19" s="12"/>
      <c r="N19" s="12"/>
      <c r="O19" s="12"/>
      <c r="P19" s="12"/>
      <c r="Q19" s="12"/>
      <c r="R19" s="12"/>
      <c r="S19" s="12"/>
    </row>
    <row r="20" customFormat="false" ht="15" hidden="false" customHeight="false" outlineLevel="0" collapsed="false">
      <c r="A20" s="12"/>
      <c r="B20" s="12"/>
      <c r="C20" s="12"/>
      <c r="D20" s="12"/>
      <c r="E20" s="12"/>
      <c r="F20" s="12"/>
      <c r="G20" s="12"/>
      <c r="H20" s="12"/>
      <c r="I20" s="12"/>
      <c r="J20" s="12"/>
      <c r="K20" s="14" t="str">
        <f aca="false">IF(COUNT(F20:I20)&lt;4,"",ROUND(AVERAGE(F20:I20)/0.05,0)*0.05)</f>
        <v/>
      </c>
      <c r="L20" s="12"/>
      <c r="M20" s="12"/>
      <c r="N20" s="12"/>
      <c r="O20" s="12"/>
      <c r="P20" s="12"/>
      <c r="Q20" s="12"/>
      <c r="R20" s="12"/>
      <c r="S20" s="12"/>
    </row>
    <row r="21" customFormat="false" ht="15" hidden="false" customHeight="false" outlineLevel="0" collapsed="false">
      <c r="A21" s="12"/>
      <c r="B21" s="12"/>
      <c r="C21" s="12"/>
      <c r="D21" s="12"/>
      <c r="E21" s="12"/>
      <c r="F21" s="12"/>
      <c r="G21" s="12"/>
      <c r="H21" s="12"/>
      <c r="I21" s="12"/>
      <c r="J21" s="12"/>
      <c r="K21" s="14" t="str">
        <f aca="false">IF(COUNT(F21:I21)&lt;4,"",ROUND(AVERAGE(F21:I21)/0.05,0)*0.05)</f>
        <v/>
      </c>
      <c r="L21" s="12"/>
      <c r="M21" s="12"/>
      <c r="N21" s="12"/>
      <c r="O21" s="12"/>
      <c r="P21" s="12"/>
      <c r="Q21" s="12"/>
      <c r="R21" s="12"/>
      <c r="S21" s="12"/>
    </row>
    <row r="22" customFormat="false" ht="15" hidden="false" customHeight="false" outlineLevel="0" collapsed="false">
      <c r="A22" s="12"/>
      <c r="B22" s="12"/>
      <c r="C22" s="12"/>
      <c r="D22" s="12"/>
      <c r="E22" s="12"/>
      <c r="F22" s="12"/>
      <c r="G22" s="12"/>
      <c r="H22" s="12"/>
      <c r="I22" s="12"/>
      <c r="J22" s="12"/>
      <c r="K22" s="14" t="str">
        <f aca="false">IF(COUNT(F22:I22)&lt;4,"",ROUND(AVERAGE(F22:I22)/0.05,0)*0.05)</f>
        <v/>
      </c>
      <c r="L22" s="12"/>
      <c r="M22" s="12"/>
      <c r="N22" s="12"/>
      <c r="O22" s="12"/>
      <c r="P22" s="12"/>
      <c r="Q22" s="12"/>
      <c r="R22" s="12"/>
      <c r="S22" s="12"/>
    </row>
    <row r="23" customFormat="false" ht="15" hidden="false" customHeight="false" outlineLevel="0" collapsed="false">
      <c r="A23" s="12"/>
      <c r="B23" s="12"/>
      <c r="C23" s="12"/>
      <c r="D23" s="12"/>
      <c r="E23" s="12"/>
      <c r="F23" s="12"/>
      <c r="G23" s="12"/>
      <c r="H23" s="12"/>
      <c r="I23" s="12"/>
      <c r="J23" s="12"/>
      <c r="K23" s="14" t="str">
        <f aca="false">IF(COUNT(F23:I23)&lt;4,"",ROUND(AVERAGE(F23:I23)/0.05,0)*0.05)</f>
        <v/>
      </c>
      <c r="L23" s="12"/>
      <c r="M23" s="12"/>
      <c r="N23" s="12"/>
      <c r="O23" s="12"/>
      <c r="P23" s="12"/>
      <c r="Q23" s="12"/>
      <c r="R23" s="12"/>
      <c r="S23" s="12"/>
    </row>
    <row r="24" customFormat="false" ht="15" hidden="false" customHeight="false" outlineLevel="0" collapsed="false">
      <c r="A24" s="12"/>
      <c r="B24" s="12"/>
      <c r="C24" s="12"/>
      <c r="D24" s="12"/>
      <c r="E24" s="12"/>
      <c r="F24" s="12"/>
      <c r="G24" s="12"/>
      <c r="H24" s="12"/>
      <c r="I24" s="12"/>
      <c r="J24" s="12"/>
      <c r="K24" s="14" t="str">
        <f aca="false">IF(COUNT(F24:I24)&lt;4,"",ROUND(AVERAGE(F24:I24)/0.05,0)*0.05)</f>
        <v/>
      </c>
      <c r="L24" s="12"/>
      <c r="M24" s="12"/>
      <c r="N24" s="12"/>
      <c r="O24" s="12"/>
      <c r="P24" s="12"/>
      <c r="Q24" s="12"/>
      <c r="R24" s="12"/>
      <c r="S24" s="12"/>
    </row>
    <row r="25" customFormat="false" ht="15" hidden="false" customHeight="false" outlineLevel="0" collapsed="false">
      <c r="A25" s="12"/>
      <c r="B25" s="12"/>
      <c r="C25" s="12"/>
      <c r="D25" s="12"/>
      <c r="E25" s="12"/>
      <c r="F25" s="12"/>
      <c r="G25" s="12"/>
      <c r="H25" s="12"/>
      <c r="I25" s="12"/>
      <c r="J25" s="12"/>
      <c r="K25" s="14" t="str">
        <f aca="false">IF(COUNT(F25:I25)&lt;4,"",ROUND(AVERAGE(F25:I25)/0.05,0)*0.05)</f>
        <v/>
      </c>
      <c r="L25" s="12"/>
      <c r="M25" s="12"/>
      <c r="N25" s="12"/>
      <c r="O25" s="12"/>
      <c r="P25" s="12"/>
      <c r="Q25" s="12"/>
      <c r="R25" s="12"/>
      <c r="S25" s="12"/>
    </row>
    <row r="26" customFormat="false" ht="15" hidden="false" customHeight="false" outlineLevel="0" collapsed="false">
      <c r="A26" s="12"/>
      <c r="B26" s="12"/>
      <c r="C26" s="12"/>
      <c r="D26" s="12"/>
      <c r="E26" s="12"/>
      <c r="F26" s="12"/>
      <c r="G26" s="12"/>
      <c r="H26" s="12"/>
      <c r="I26" s="12"/>
      <c r="J26" s="12"/>
      <c r="K26" s="14" t="str">
        <f aca="false">IF(COUNT(F26:I26)&lt;4,"",ROUND(AVERAGE(F26:I26)/0.05,0)*0.05)</f>
        <v/>
      </c>
      <c r="L26" s="12"/>
      <c r="M26" s="12"/>
      <c r="N26" s="12"/>
      <c r="O26" s="12"/>
      <c r="P26" s="12"/>
      <c r="Q26" s="12"/>
      <c r="R26" s="12"/>
      <c r="S26" s="12"/>
    </row>
    <row r="27" customFormat="false" ht="15" hidden="false" customHeight="false" outlineLevel="0" collapsed="false">
      <c r="A27" s="12"/>
      <c r="B27" s="12"/>
      <c r="C27" s="12"/>
      <c r="D27" s="12"/>
      <c r="E27" s="12"/>
      <c r="F27" s="12"/>
      <c r="G27" s="12"/>
      <c r="H27" s="12"/>
      <c r="I27" s="12"/>
      <c r="J27" s="12"/>
      <c r="K27" s="14" t="str">
        <f aca="false">IF(COUNT(F27:I27)&lt;4,"",ROUND(AVERAGE(F27:I27)/0.05,0)*0.05)</f>
        <v/>
      </c>
      <c r="L27" s="12"/>
      <c r="M27" s="12"/>
      <c r="N27" s="12"/>
      <c r="O27" s="12"/>
      <c r="P27" s="12"/>
      <c r="Q27" s="12"/>
      <c r="R27" s="12"/>
      <c r="S27" s="12"/>
    </row>
    <row r="28" customFormat="false" ht="15" hidden="false" customHeight="false" outlineLevel="0" collapsed="false">
      <c r="A28" s="12"/>
      <c r="B28" s="12"/>
      <c r="C28" s="12"/>
      <c r="D28" s="12"/>
      <c r="E28" s="12"/>
      <c r="F28" s="12"/>
      <c r="G28" s="12"/>
      <c r="H28" s="12"/>
      <c r="I28" s="12"/>
      <c r="J28" s="12"/>
      <c r="K28" s="14" t="str">
        <f aca="false">IF(COUNT(F28:I28)&lt;4,"",ROUND(AVERAGE(F28:I28)/0.05,0)*0.05)</f>
        <v/>
      </c>
      <c r="L28" s="12"/>
      <c r="M28" s="12"/>
      <c r="N28" s="12"/>
      <c r="O28" s="12"/>
      <c r="P28" s="12"/>
      <c r="Q28" s="12"/>
      <c r="R28" s="12"/>
      <c r="S28" s="12"/>
    </row>
    <row r="29" customFormat="false" ht="15" hidden="false" customHeight="false" outlineLevel="0" collapsed="false">
      <c r="A29" s="12"/>
      <c r="B29" s="12"/>
      <c r="C29" s="12"/>
      <c r="D29" s="12"/>
      <c r="E29" s="12"/>
      <c r="F29" s="12"/>
      <c r="G29" s="12"/>
      <c r="H29" s="12"/>
      <c r="I29" s="12"/>
      <c r="J29" s="12"/>
      <c r="K29" s="14" t="str">
        <f aca="false">IF(COUNT(F29:I29)&lt;4,"",ROUND(AVERAGE(F29:I29)/0.05,0)*0.05)</f>
        <v/>
      </c>
      <c r="L29" s="12"/>
      <c r="M29" s="12"/>
      <c r="N29" s="12"/>
      <c r="O29" s="12"/>
      <c r="P29" s="12"/>
      <c r="Q29" s="12"/>
      <c r="R29" s="12"/>
      <c r="S29" s="12"/>
    </row>
    <row r="30" customFormat="false" ht="15" hidden="false" customHeight="false" outlineLevel="0" collapsed="false">
      <c r="A30" s="12"/>
      <c r="B30" s="12"/>
      <c r="C30" s="12"/>
      <c r="D30" s="12"/>
      <c r="E30" s="12"/>
      <c r="F30" s="12"/>
      <c r="G30" s="12"/>
      <c r="H30" s="12"/>
      <c r="I30" s="12"/>
      <c r="J30" s="12"/>
      <c r="K30" s="14" t="str">
        <f aca="false">IF(COUNT(F30:I30)&lt;4,"",ROUND(AVERAGE(F30:I30)/0.05,0)*0.05)</f>
        <v/>
      </c>
      <c r="L30" s="12"/>
      <c r="M30" s="12"/>
      <c r="N30" s="12"/>
      <c r="O30" s="12"/>
      <c r="P30" s="12"/>
      <c r="Q30" s="12"/>
      <c r="R30" s="12"/>
      <c r="S30" s="12"/>
    </row>
    <row r="31" customFormat="false" ht="15" hidden="false" customHeight="false" outlineLevel="0" collapsed="false">
      <c r="A31" s="12"/>
      <c r="B31" s="12"/>
      <c r="C31" s="12"/>
      <c r="D31" s="12"/>
      <c r="E31" s="12"/>
      <c r="F31" s="12"/>
      <c r="G31" s="12"/>
      <c r="H31" s="12"/>
      <c r="I31" s="12"/>
      <c r="J31" s="12"/>
      <c r="K31" s="14" t="str">
        <f aca="false">IF(COUNT(F31:I31)&lt;4,"",ROUND(AVERAGE(F31:I31)/0.05,0)*0.05)</f>
        <v/>
      </c>
      <c r="L31" s="12"/>
      <c r="M31" s="12"/>
      <c r="N31" s="12"/>
      <c r="O31" s="12"/>
      <c r="P31" s="12"/>
      <c r="Q31" s="12"/>
      <c r="R31" s="12"/>
      <c r="S31" s="12"/>
    </row>
    <row r="32" customFormat="false" ht="15" hidden="false" customHeight="false" outlineLevel="0" collapsed="false">
      <c r="A32" s="12"/>
      <c r="B32" s="12"/>
      <c r="C32" s="12"/>
      <c r="D32" s="12"/>
      <c r="E32" s="12"/>
      <c r="F32" s="12"/>
      <c r="G32" s="12"/>
      <c r="H32" s="12"/>
      <c r="I32" s="12"/>
      <c r="J32" s="12"/>
      <c r="K32" s="14" t="str">
        <f aca="false">IF(COUNT(F32:I32)&lt;4,"",ROUND(AVERAGE(F32:I32)/0.05,0)*0.05)</f>
        <v/>
      </c>
      <c r="L32" s="12"/>
      <c r="M32" s="12"/>
      <c r="N32" s="12"/>
      <c r="O32" s="12"/>
      <c r="P32" s="12"/>
      <c r="Q32" s="12"/>
      <c r="R32" s="12"/>
      <c r="S32" s="12"/>
    </row>
    <row r="33" customFormat="false" ht="15" hidden="false" customHeight="false" outlineLevel="0" collapsed="false">
      <c r="A33" s="12"/>
      <c r="B33" s="12"/>
      <c r="C33" s="12"/>
      <c r="D33" s="12"/>
      <c r="E33" s="12"/>
      <c r="F33" s="12"/>
      <c r="G33" s="12"/>
      <c r="H33" s="12"/>
      <c r="I33" s="12"/>
      <c r="J33" s="12"/>
      <c r="K33" s="14" t="str">
        <f aca="false">IF(COUNT(F33:I33)&lt;4,"",ROUND(AVERAGE(F33:I33)/0.05,0)*0.05)</f>
        <v/>
      </c>
      <c r="L33" s="12"/>
      <c r="M33" s="12"/>
      <c r="N33" s="12"/>
      <c r="O33" s="12"/>
      <c r="P33" s="12"/>
      <c r="Q33" s="12"/>
      <c r="R33" s="12"/>
      <c r="S33" s="12"/>
    </row>
  </sheetData>
  <autoFilter ref="A1:S33"/>
  <dataValidations count="1">
    <dataValidation allowBlank="true" error="Pick a value from the list" errorStyle="stop" errorTitle="Invalid value" operator="between" showDropDown="false" showErrorMessage="false" showInputMessage="false" sqref="M3:M33" type="list">
      <formula1>"A,B,C,D,E"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N5" activeCellId="0" sqref="N5"/>
    </sheetView>
  </sheetViews>
  <sheetFormatPr defaultColWidth="8.6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4" min="3" style="0" width="12"/>
    <col collapsed="false" customWidth="true" hidden="false" outlineLevel="0" max="5" min="5" style="0" width="26"/>
    <col collapsed="false" customWidth="true" hidden="false" outlineLevel="0" max="6" min="6" style="0" width="8"/>
    <col collapsed="false" customWidth="true" hidden="false" outlineLevel="0" max="7" min="7" style="0" width="12"/>
    <col collapsed="false" customWidth="true" hidden="false" outlineLevel="0" max="8" min="8" style="0" width="40"/>
    <col collapsed="false" customWidth="true" hidden="false" outlineLevel="0" max="12" min="9" style="0" width="30"/>
    <col collapsed="false" customWidth="true" hidden="false" outlineLevel="0" max="13" min="13" style="0" width="8"/>
    <col collapsed="false" customWidth="true" hidden="false" outlineLevel="0" max="14" min="14" style="0" width="24"/>
  </cols>
  <sheetData>
    <row r="1" customFormat="false" ht="31.5" hidden="false" customHeight="true" outlineLevel="0" collapsed="false">
      <c r="A1" s="4" t="s">
        <v>390</v>
      </c>
      <c r="B1" s="4" t="s">
        <v>694</v>
      </c>
      <c r="C1" s="4" t="s">
        <v>695</v>
      </c>
      <c r="D1" s="4" t="s">
        <v>696</v>
      </c>
      <c r="E1" s="4" t="s">
        <v>697</v>
      </c>
      <c r="F1" s="4" t="s">
        <v>698</v>
      </c>
      <c r="G1" s="4" t="s">
        <v>699</v>
      </c>
      <c r="H1" s="4" t="s">
        <v>700</v>
      </c>
      <c r="I1" s="4" t="s">
        <v>701</v>
      </c>
      <c r="J1" s="4" t="s">
        <v>702</v>
      </c>
      <c r="K1" s="4" t="s">
        <v>703</v>
      </c>
      <c r="L1" s="4" t="s">
        <v>704</v>
      </c>
      <c r="M1" s="4" t="s">
        <v>705</v>
      </c>
      <c r="N1" s="4" t="s">
        <v>31</v>
      </c>
    </row>
    <row r="2" customFormat="false" ht="63.75" hidden="false" customHeight="true" outlineLevel="0" collapsed="false">
      <c r="A2" s="7" t="s">
        <v>427</v>
      </c>
      <c r="B2" s="7" t="s">
        <v>706</v>
      </c>
      <c r="C2" s="7" t="s">
        <v>707</v>
      </c>
      <c r="D2" s="7" t="s">
        <v>708</v>
      </c>
      <c r="E2" s="7" t="s">
        <v>709</v>
      </c>
      <c r="F2" s="7" t="s">
        <v>451</v>
      </c>
      <c r="G2" s="7" t="s">
        <v>710</v>
      </c>
      <c r="H2" s="7" t="s">
        <v>454</v>
      </c>
      <c r="I2" s="7" t="s">
        <v>711</v>
      </c>
      <c r="J2" s="7"/>
      <c r="K2" s="7"/>
      <c r="L2" s="7"/>
      <c r="M2" s="7" t="s">
        <v>451</v>
      </c>
      <c r="N2" s="7"/>
    </row>
    <row r="3" customFormat="false" ht="48" hidden="false" customHeight="true" outlineLevel="0" collapsed="false">
      <c r="A3" s="10" t="s">
        <v>514</v>
      </c>
      <c r="B3" s="10" t="s">
        <v>712</v>
      </c>
      <c r="C3" s="10" t="s">
        <v>713</v>
      </c>
      <c r="D3" s="10" t="s">
        <v>714</v>
      </c>
      <c r="E3" s="10" t="s">
        <v>715</v>
      </c>
      <c r="F3" s="10" t="s">
        <v>548</v>
      </c>
      <c r="G3" s="10"/>
      <c r="H3" s="10" t="s">
        <v>716</v>
      </c>
      <c r="I3" s="10" t="s">
        <v>717</v>
      </c>
      <c r="J3" s="10" t="s">
        <v>718</v>
      </c>
      <c r="K3" s="10" t="s">
        <v>719</v>
      </c>
      <c r="L3" s="10" t="s">
        <v>720</v>
      </c>
      <c r="M3" s="10" t="s">
        <v>548</v>
      </c>
      <c r="N3" s="10"/>
    </row>
    <row r="4" customFormat="false" ht="15" hidden="false" customHeight="false" outlineLevel="0" collapsed="false">
      <c r="A4" s="11" t="s">
        <v>514</v>
      </c>
      <c r="B4" s="11" t="s">
        <v>712</v>
      </c>
      <c r="C4" s="12"/>
      <c r="D4" s="11" t="s">
        <v>714</v>
      </c>
      <c r="E4" s="12"/>
      <c r="F4" s="12"/>
      <c r="G4" s="12"/>
      <c r="H4" s="11" t="s">
        <v>721</v>
      </c>
      <c r="I4" s="12"/>
      <c r="J4" s="12"/>
      <c r="K4" s="12"/>
      <c r="L4" s="12"/>
      <c r="M4" s="11" t="s">
        <v>548</v>
      </c>
      <c r="N4" s="11" t="s">
        <v>722</v>
      </c>
    </row>
    <row r="5" customFormat="false" ht="15" hidden="false" customHeight="false" outlineLevel="0" collapsed="false">
      <c r="A5" s="11" t="s">
        <v>514</v>
      </c>
      <c r="B5" s="11" t="s">
        <v>723</v>
      </c>
      <c r="C5" s="12"/>
      <c r="D5" s="11" t="s">
        <v>714</v>
      </c>
      <c r="E5" s="12"/>
      <c r="F5" s="12"/>
      <c r="G5" s="12"/>
      <c r="H5" s="11" t="s">
        <v>724</v>
      </c>
      <c r="I5" s="12"/>
      <c r="J5" s="12"/>
      <c r="K5" s="12"/>
      <c r="L5" s="12"/>
      <c r="M5" s="11" t="s">
        <v>548</v>
      </c>
      <c r="N5" s="11" t="s">
        <v>722</v>
      </c>
    </row>
    <row r="6" customFormat="false" ht="15" hidden="false" customHeight="false" outlineLevel="0" collapsed="false">
      <c r="A6" s="11" t="s">
        <v>514</v>
      </c>
      <c r="B6" s="11" t="s">
        <v>725</v>
      </c>
      <c r="C6" s="12"/>
      <c r="D6" s="11" t="s">
        <v>714</v>
      </c>
      <c r="E6" s="12"/>
      <c r="F6" s="12"/>
      <c r="G6" s="12"/>
      <c r="H6" s="11" t="s">
        <v>726</v>
      </c>
      <c r="I6" s="12"/>
      <c r="J6" s="12"/>
      <c r="K6" s="12"/>
      <c r="L6" s="12"/>
      <c r="M6" s="11" t="s">
        <v>548</v>
      </c>
      <c r="N6" s="11" t="s">
        <v>722</v>
      </c>
    </row>
    <row r="7" customFormat="false" ht="27.75" hidden="false" customHeight="true" outlineLevel="0" collapsed="false">
      <c r="A7" s="11" t="s">
        <v>514</v>
      </c>
      <c r="B7" s="11" t="s">
        <v>727</v>
      </c>
      <c r="C7" s="12"/>
      <c r="D7" s="11" t="s">
        <v>714</v>
      </c>
      <c r="E7" s="12"/>
      <c r="F7" s="12"/>
      <c r="G7" s="12"/>
      <c r="H7" s="11" t="s">
        <v>728</v>
      </c>
      <c r="I7" s="12"/>
      <c r="J7" s="12"/>
      <c r="K7" s="12"/>
      <c r="L7" s="12"/>
      <c r="M7" s="11" t="s">
        <v>548</v>
      </c>
      <c r="N7" s="11" t="s">
        <v>722</v>
      </c>
    </row>
    <row r="8" customFormat="false" ht="15" hidden="false" customHeight="false" outlineLevel="0" collapsed="false">
      <c r="A8" s="11" t="s">
        <v>514</v>
      </c>
      <c r="B8" s="11" t="s">
        <v>729</v>
      </c>
      <c r="C8" s="12"/>
      <c r="D8" s="11" t="s">
        <v>714</v>
      </c>
      <c r="E8" s="12"/>
      <c r="F8" s="12"/>
      <c r="G8" s="12"/>
      <c r="H8" s="11" t="s">
        <v>730</v>
      </c>
      <c r="I8" s="12"/>
      <c r="J8" s="12"/>
      <c r="K8" s="12"/>
      <c r="L8" s="12"/>
      <c r="M8" s="11" t="s">
        <v>548</v>
      </c>
      <c r="N8" s="11" t="s">
        <v>722</v>
      </c>
    </row>
    <row r="9" customFormat="false" ht="15" hidden="false" customHeight="false" outlineLevel="0" collapsed="false">
      <c r="A9" s="12"/>
      <c r="B9" s="12"/>
      <c r="C9" s="12"/>
      <c r="D9" s="12"/>
      <c r="E9" s="12"/>
      <c r="F9" s="12"/>
      <c r="G9" s="12"/>
      <c r="H9" s="12"/>
      <c r="I9" s="12"/>
      <c r="J9" s="12"/>
      <c r="K9" s="12"/>
      <c r="L9" s="12"/>
      <c r="M9" s="12"/>
      <c r="N9" s="12"/>
    </row>
    <row r="10" customFormat="false" ht="15" hidden="false" customHeight="false" outlineLevel="0" collapsed="false">
      <c r="A10" s="12"/>
      <c r="B10" s="12"/>
      <c r="C10" s="12"/>
      <c r="D10" s="12"/>
      <c r="E10" s="12"/>
      <c r="F10" s="12"/>
      <c r="G10" s="12"/>
      <c r="H10" s="12"/>
      <c r="I10" s="12"/>
      <c r="J10" s="12"/>
      <c r="K10" s="12"/>
      <c r="L10" s="12"/>
      <c r="M10" s="12"/>
      <c r="N10" s="12"/>
    </row>
    <row r="11" customFormat="false" ht="15" hidden="false" customHeight="false" outlineLevel="0" collapsed="false">
      <c r="A11" s="12"/>
      <c r="B11" s="12"/>
      <c r="C11" s="12"/>
      <c r="D11" s="12"/>
      <c r="E11" s="12"/>
      <c r="F11" s="12"/>
      <c r="G11" s="12"/>
      <c r="H11" s="12"/>
      <c r="I11" s="12"/>
      <c r="J11" s="12"/>
      <c r="K11" s="12"/>
      <c r="L11" s="12"/>
      <c r="M11" s="12"/>
      <c r="N11" s="12"/>
    </row>
    <row r="12" customFormat="false" ht="15" hidden="false" customHeight="false" outlineLevel="0" collapsed="false">
      <c r="A12" s="12"/>
      <c r="B12" s="12"/>
      <c r="C12" s="12"/>
      <c r="D12" s="12"/>
      <c r="E12" s="12"/>
      <c r="F12" s="12"/>
      <c r="G12" s="12"/>
      <c r="H12" s="12"/>
      <c r="I12" s="12"/>
      <c r="J12" s="12"/>
      <c r="K12" s="12"/>
      <c r="L12" s="12"/>
      <c r="M12" s="12"/>
      <c r="N12" s="12"/>
    </row>
    <row r="13" customFormat="false" ht="15" hidden="false" customHeight="false" outlineLevel="0" collapsed="false">
      <c r="A13" s="12"/>
      <c r="B13" s="12"/>
      <c r="C13" s="12"/>
      <c r="D13" s="12"/>
      <c r="E13" s="12"/>
      <c r="F13" s="12"/>
      <c r="G13" s="12"/>
      <c r="H13" s="12"/>
      <c r="I13" s="12"/>
      <c r="J13" s="12"/>
      <c r="K13" s="12"/>
      <c r="L13" s="12"/>
      <c r="M13" s="12"/>
      <c r="N13" s="12"/>
    </row>
    <row r="14" customFormat="false" ht="15" hidden="false" customHeight="false" outlineLevel="0" collapsed="false">
      <c r="A14" s="12"/>
      <c r="B14" s="12"/>
      <c r="C14" s="12"/>
      <c r="D14" s="12"/>
      <c r="E14" s="12"/>
      <c r="F14" s="12"/>
      <c r="G14" s="12"/>
      <c r="H14" s="12"/>
      <c r="I14" s="12"/>
      <c r="J14" s="12"/>
      <c r="K14" s="12"/>
      <c r="L14" s="12"/>
      <c r="M14" s="12"/>
      <c r="N14" s="12"/>
    </row>
    <row r="15" customFormat="false" ht="15" hidden="false" customHeight="false" outlineLevel="0" collapsed="false">
      <c r="A15" s="12"/>
      <c r="B15" s="12"/>
      <c r="C15" s="12"/>
      <c r="D15" s="12"/>
      <c r="E15" s="12"/>
      <c r="F15" s="12"/>
      <c r="G15" s="12"/>
      <c r="H15" s="12"/>
      <c r="I15" s="12"/>
      <c r="J15" s="12"/>
      <c r="K15" s="12"/>
      <c r="L15" s="12"/>
      <c r="M15" s="12"/>
      <c r="N15" s="12"/>
    </row>
    <row r="16" customFormat="false" ht="15" hidden="false" customHeight="false" outlineLevel="0" collapsed="false">
      <c r="A16" s="12"/>
      <c r="B16" s="12"/>
      <c r="C16" s="12"/>
      <c r="D16" s="12"/>
      <c r="E16" s="12"/>
      <c r="F16" s="12"/>
      <c r="G16" s="12"/>
      <c r="H16" s="12"/>
      <c r="I16" s="12"/>
      <c r="J16" s="12"/>
      <c r="K16" s="12"/>
      <c r="L16" s="12"/>
      <c r="M16" s="12"/>
      <c r="N16" s="12"/>
    </row>
    <row r="17" customFormat="false" ht="15" hidden="false" customHeight="false" outlineLevel="0" collapsed="false">
      <c r="A17" s="12"/>
      <c r="B17" s="12"/>
      <c r="C17" s="12"/>
      <c r="D17" s="12"/>
      <c r="E17" s="12"/>
      <c r="F17" s="12"/>
      <c r="G17" s="12"/>
      <c r="H17" s="12"/>
      <c r="I17" s="12"/>
      <c r="J17" s="12"/>
      <c r="K17" s="12"/>
      <c r="L17" s="12"/>
      <c r="M17" s="12"/>
      <c r="N17" s="12"/>
    </row>
    <row r="18" customFormat="false" ht="15" hidden="false" customHeight="false" outlineLevel="0" collapsed="false">
      <c r="A18" s="12"/>
      <c r="B18" s="12"/>
      <c r="C18" s="12"/>
      <c r="D18" s="12"/>
      <c r="E18" s="12"/>
      <c r="F18" s="12"/>
      <c r="G18" s="12"/>
      <c r="H18" s="12"/>
      <c r="I18" s="12"/>
      <c r="J18" s="12"/>
      <c r="K18" s="12"/>
      <c r="L18" s="12"/>
      <c r="M18" s="12"/>
      <c r="N18" s="12"/>
    </row>
    <row r="19" customFormat="false" ht="15" hidden="false" customHeight="false" outlineLevel="0" collapsed="false">
      <c r="A19" s="12"/>
      <c r="B19" s="12"/>
      <c r="C19" s="12"/>
      <c r="D19" s="12"/>
      <c r="E19" s="12"/>
      <c r="F19" s="12"/>
      <c r="G19" s="12"/>
      <c r="H19" s="12"/>
      <c r="I19" s="12"/>
      <c r="J19" s="12"/>
      <c r="K19" s="12"/>
      <c r="L19" s="12"/>
      <c r="M19" s="12"/>
      <c r="N19" s="12"/>
    </row>
    <row r="20" customFormat="false" ht="15" hidden="false" customHeight="false" outlineLevel="0" collapsed="false">
      <c r="A20" s="12"/>
      <c r="B20" s="12"/>
      <c r="C20" s="12"/>
      <c r="D20" s="12"/>
      <c r="E20" s="12"/>
      <c r="F20" s="12"/>
      <c r="G20" s="12"/>
      <c r="H20" s="12"/>
      <c r="I20" s="12"/>
      <c r="J20" s="12"/>
      <c r="K20" s="12"/>
      <c r="L20" s="12"/>
      <c r="M20" s="12"/>
      <c r="N20" s="12"/>
    </row>
    <row r="21" customFormat="false" ht="15" hidden="false" customHeight="false" outlineLevel="0" collapsed="false">
      <c r="A21" s="12"/>
      <c r="B21" s="12"/>
      <c r="C21" s="12"/>
      <c r="D21" s="12"/>
      <c r="E21" s="12"/>
      <c r="F21" s="12"/>
      <c r="G21" s="12"/>
      <c r="H21" s="12"/>
      <c r="I21" s="12"/>
      <c r="J21" s="12"/>
      <c r="K21" s="12"/>
      <c r="L21" s="12"/>
      <c r="M21" s="12"/>
      <c r="N21" s="12"/>
    </row>
    <row r="22" customFormat="false" ht="15" hidden="false" customHeight="false" outlineLevel="0" collapsed="false">
      <c r="A22" s="12"/>
      <c r="B22" s="12"/>
      <c r="C22" s="12"/>
      <c r="D22" s="12"/>
      <c r="E22" s="12"/>
      <c r="F22" s="12"/>
      <c r="G22" s="12"/>
      <c r="H22" s="12"/>
      <c r="I22" s="12"/>
      <c r="J22" s="12"/>
      <c r="K22" s="12"/>
      <c r="L22" s="12"/>
      <c r="M22" s="12"/>
      <c r="N22" s="12"/>
    </row>
    <row r="23" customFormat="false" ht="15" hidden="false" customHeight="false" outlineLevel="0" collapsed="false">
      <c r="A23" s="12"/>
      <c r="B23" s="12"/>
      <c r="C23" s="12"/>
      <c r="D23" s="12"/>
      <c r="E23" s="12"/>
      <c r="F23" s="12"/>
      <c r="G23" s="12"/>
      <c r="H23" s="12"/>
      <c r="I23" s="12"/>
      <c r="J23" s="12"/>
      <c r="K23" s="12"/>
      <c r="L23" s="12"/>
      <c r="M23" s="12"/>
      <c r="N23" s="12"/>
    </row>
    <row r="24" customFormat="false" ht="15" hidden="false" customHeight="false" outlineLevel="0" collapsed="false">
      <c r="A24" s="12"/>
      <c r="B24" s="12"/>
      <c r="C24" s="12"/>
      <c r="D24" s="12"/>
      <c r="E24" s="12"/>
      <c r="F24" s="12"/>
      <c r="G24" s="12"/>
      <c r="H24" s="12"/>
      <c r="I24" s="12"/>
      <c r="J24" s="12"/>
      <c r="K24" s="12"/>
      <c r="L24" s="12"/>
      <c r="M24" s="12"/>
      <c r="N24" s="12"/>
    </row>
    <row r="25" customFormat="false" ht="15" hidden="false" customHeight="false" outlineLevel="0" collapsed="false">
      <c r="A25" s="12"/>
      <c r="B25" s="12"/>
      <c r="C25" s="12"/>
      <c r="D25" s="12"/>
      <c r="E25" s="12"/>
      <c r="F25" s="12"/>
      <c r="G25" s="12"/>
      <c r="H25" s="12"/>
      <c r="I25" s="12"/>
      <c r="J25" s="12"/>
      <c r="K25" s="12"/>
      <c r="L25" s="12"/>
      <c r="M25" s="12"/>
      <c r="N25" s="12"/>
    </row>
    <row r="26" customFormat="false" ht="15" hidden="false" customHeight="false" outlineLevel="0" collapsed="false">
      <c r="A26" s="12"/>
      <c r="B26" s="12"/>
      <c r="C26" s="12"/>
      <c r="D26" s="12"/>
      <c r="E26" s="12"/>
      <c r="F26" s="12"/>
      <c r="G26" s="12"/>
      <c r="H26" s="12"/>
      <c r="I26" s="12"/>
      <c r="J26" s="12"/>
      <c r="K26" s="12"/>
      <c r="L26" s="12"/>
      <c r="M26" s="12"/>
      <c r="N26" s="12"/>
    </row>
    <row r="27" customFormat="false" ht="15" hidden="false" customHeight="false" outlineLevel="0" collapsed="false">
      <c r="A27" s="12"/>
      <c r="B27" s="12"/>
      <c r="C27" s="12"/>
      <c r="D27" s="12"/>
      <c r="E27" s="12"/>
      <c r="F27" s="12"/>
      <c r="G27" s="12"/>
      <c r="H27" s="12"/>
      <c r="I27" s="12"/>
      <c r="J27" s="12"/>
      <c r="K27" s="12"/>
      <c r="L27" s="12"/>
      <c r="M27" s="12"/>
      <c r="N27" s="12"/>
    </row>
    <row r="28" customFormat="false" ht="15" hidden="false" customHeight="false" outlineLevel="0" collapsed="false">
      <c r="A28" s="12"/>
      <c r="B28" s="12"/>
      <c r="C28" s="12"/>
      <c r="D28" s="12"/>
      <c r="E28" s="12"/>
      <c r="F28" s="12"/>
      <c r="G28" s="12"/>
      <c r="H28" s="12"/>
      <c r="I28" s="12"/>
      <c r="J28" s="12"/>
      <c r="K28" s="12"/>
      <c r="L28" s="12"/>
      <c r="M28" s="12"/>
      <c r="N28" s="12"/>
    </row>
    <row r="29" customFormat="false" ht="15" hidden="false" customHeight="false" outlineLevel="0" collapsed="false">
      <c r="A29" s="12"/>
      <c r="B29" s="12"/>
      <c r="C29" s="12"/>
      <c r="D29" s="12"/>
      <c r="E29" s="12"/>
      <c r="F29" s="12"/>
      <c r="G29" s="12"/>
      <c r="H29" s="12"/>
      <c r="I29" s="12"/>
      <c r="J29" s="12"/>
      <c r="K29" s="12"/>
      <c r="L29" s="12"/>
      <c r="M29" s="12"/>
      <c r="N29" s="12"/>
    </row>
    <row r="30" customFormat="false" ht="15" hidden="false" customHeight="false" outlineLevel="0" collapsed="false">
      <c r="A30" s="12"/>
      <c r="B30" s="12"/>
      <c r="C30" s="12"/>
      <c r="D30" s="12"/>
      <c r="E30" s="12"/>
      <c r="F30" s="12"/>
      <c r="G30" s="12"/>
      <c r="H30" s="12"/>
      <c r="I30" s="12"/>
      <c r="J30" s="12"/>
      <c r="K30" s="12"/>
      <c r="L30" s="12"/>
      <c r="M30" s="12"/>
      <c r="N30" s="12"/>
    </row>
    <row r="31" customFormat="false" ht="15" hidden="false" customHeight="false" outlineLevel="0" collapsed="false">
      <c r="A31" s="12"/>
      <c r="B31" s="12"/>
      <c r="C31" s="12"/>
      <c r="D31" s="12"/>
      <c r="E31" s="12"/>
      <c r="F31" s="12"/>
      <c r="G31" s="12"/>
      <c r="H31" s="12"/>
      <c r="I31" s="12"/>
      <c r="J31" s="12"/>
      <c r="K31" s="12"/>
      <c r="L31" s="12"/>
      <c r="M31" s="12"/>
      <c r="N31" s="12"/>
    </row>
    <row r="32" customFormat="false" ht="15" hidden="false" customHeight="false" outlineLevel="0" collapsed="false">
      <c r="A32" s="12"/>
      <c r="B32" s="12"/>
      <c r="C32" s="12"/>
      <c r="D32" s="12"/>
      <c r="E32" s="12"/>
      <c r="F32" s="12"/>
      <c r="G32" s="12"/>
      <c r="H32" s="12"/>
      <c r="I32" s="12"/>
      <c r="J32" s="12"/>
      <c r="K32" s="12"/>
      <c r="L32" s="12"/>
      <c r="M32" s="12"/>
      <c r="N32" s="12"/>
    </row>
    <row r="33" customFormat="false" ht="15" hidden="false" customHeight="false" outlineLevel="0" collapsed="false">
      <c r="A33" s="12"/>
      <c r="B33" s="12"/>
      <c r="C33" s="12"/>
      <c r="D33" s="12"/>
      <c r="E33" s="12"/>
      <c r="F33" s="12"/>
      <c r="G33" s="12"/>
      <c r="H33" s="12"/>
      <c r="I33" s="12"/>
      <c r="J33" s="12"/>
      <c r="K33" s="12"/>
      <c r="L33" s="12"/>
      <c r="M33" s="12"/>
      <c r="N33" s="12"/>
    </row>
    <row r="34" customFormat="false" ht="15" hidden="false" customHeight="false" outlineLevel="0" collapsed="false">
      <c r="A34" s="12"/>
      <c r="B34" s="12"/>
      <c r="C34" s="12"/>
      <c r="D34" s="12"/>
      <c r="E34" s="12"/>
      <c r="F34" s="12"/>
      <c r="G34" s="12"/>
      <c r="H34" s="12"/>
      <c r="I34" s="12"/>
      <c r="J34" s="12"/>
      <c r="K34" s="12"/>
      <c r="L34" s="12"/>
      <c r="M34" s="12"/>
      <c r="N34" s="12"/>
    </row>
    <row r="35" customFormat="false" ht="15" hidden="false" customHeight="false" outlineLevel="0" collapsed="false">
      <c r="A35" s="12"/>
      <c r="B35" s="12"/>
      <c r="C35" s="12"/>
      <c r="D35" s="12"/>
      <c r="E35" s="12"/>
      <c r="F35" s="12"/>
      <c r="G35" s="12"/>
      <c r="H35" s="12"/>
      <c r="I35" s="12"/>
      <c r="J35" s="12"/>
      <c r="K35" s="12"/>
      <c r="L35" s="12"/>
      <c r="M35" s="12"/>
      <c r="N35" s="12"/>
    </row>
    <row r="36" customFormat="false" ht="15" hidden="false" customHeight="false" outlineLevel="0" collapsed="false">
      <c r="A36" s="12"/>
      <c r="B36" s="12"/>
      <c r="C36" s="12"/>
      <c r="D36" s="12"/>
      <c r="E36" s="12"/>
      <c r="F36" s="12"/>
      <c r="G36" s="12"/>
      <c r="H36" s="12"/>
      <c r="I36" s="12"/>
      <c r="J36" s="12"/>
      <c r="K36" s="12"/>
      <c r="L36" s="12"/>
      <c r="M36" s="12"/>
      <c r="N36" s="12"/>
    </row>
    <row r="37" customFormat="false" ht="15" hidden="false" customHeight="false" outlineLevel="0" collapsed="false">
      <c r="A37" s="12"/>
      <c r="B37" s="12"/>
      <c r="C37" s="12"/>
      <c r="D37" s="12"/>
      <c r="E37" s="12"/>
      <c r="F37" s="12"/>
      <c r="G37" s="12"/>
      <c r="H37" s="12"/>
      <c r="I37" s="12"/>
      <c r="J37" s="12"/>
      <c r="K37" s="12"/>
      <c r="L37" s="12"/>
      <c r="M37" s="12"/>
      <c r="N37" s="12"/>
    </row>
    <row r="38" customFormat="false" ht="15" hidden="false" customHeight="false" outlineLevel="0" collapsed="false">
      <c r="A38" s="12"/>
      <c r="B38" s="12"/>
      <c r="C38" s="12"/>
      <c r="D38" s="12"/>
      <c r="E38" s="12"/>
      <c r="F38" s="12"/>
      <c r="G38" s="12"/>
      <c r="H38" s="12"/>
      <c r="I38" s="12"/>
      <c r="J38" s="12"/>
      <c r="K38" s="12"/>
      <c r="L38" s="12"/>
      <c r="M38" s="12"/>
      <c r="N38" s="12"/>
    </row>
    <row r="39" customFormat="false" ht="15" hidden="false" customHeight="false" outlineLevel="0" collapsed="false">
      <c r="A39" s="12"/>
      <c r="B39" s="12"/>
      <c r="C39" s="12"/>
      <c r="D39" s="12"/>
      <c r="E39" s="12"/>
      <c r="F39" s="12"/>
      <c r="G39" s="12"/>
      <c r="H39" s="12"/>
      <c r="I39" s="12"/>
      <c r="J39" s="12"/>
      <c r="K39" s="12"/>
      <c r="L39" s="12"/>
      <c r="M39" s="12"/>
      <c r="N39" s="12"/>
    </row>
    <row r="40" customFormat="false" ht="15" hidden="false" customHeight="false" outlineLevel="0" collapsed="false">
      <c r="A40" s="12"/>
      <c r="B40" s="12"/>
      <c r="C40" s="12"/>
      <c r="D40" s="12"/>
      <c r="E40" s="12"/>
      <c r="F40" s="12"/>
      <c r="G40" s="12"/>
      <c r="H40" s="12"/>
      <c r="I40" s="12"/>
      <c r="J40" s="12"/>
      <c r="K40" s="12"/>
      <c r="L40" s="12"/>
      <c r="M40" s="12"/>
      <c r="N40" s="12"/>
    </row>
    <row r="41" customFormat="false" ht="15" hidden="false" customHeight="false" outlineLevel="0" collapsed="false">
      <c r="A41" s="12"/>
      <c r="B41" s="12"/>
      <c r="C41" s="12"/>
      <c r="D41" s="12"/>
      <c r="E41" s="12"/>
      <c r="F41" s="12"/>
      <c r="G41" s="12"/>
      <c r="H41" s="12"/>
      <c r="I41" s="12"/>
      <c r="J41" s="12"/>
      <c r="K41" s="12"/>
      <c r="L41" s="12"/>
      <c r="M41" s="12"/>
      <c r="N41" s="12"/>
    </row>
    <row r="42" customFormat="false" ht="15" hidden="false" customHeight="false" outlineLevel="0" collapsed="false">
      <c r="A42" s="12"/>
      <c r="B42" s="12"/>
      <c r="C42" s="12"/>
      <c r="D42" s="12"/>
      <c r="E42" s="12"/>
      <c r="F42" s="12"/>
      <c r="G42" s="12"/>
      <c r="H42" s="12"/>
      <c r="I42" s="12"/>
      <c r="J42" s="12"/>
      <c r="K42" s="12"/>
      <c r="L42" s="12"/>
      <c r="M42" s="12"/>
      <c r="N42" s="12"/>
    </row>
    <row r="43" customFormat="false" ht="15" hidden="false" customHeight="false" outlineLevel="0" collapsed="false">
      <c r="A43" s="12"/>
      <c r="B43" s="12"/>
      <c r="C43" s="12"/>
      <c r="D43" s="12"/>
      <c r="E43" s="12"/>
      <c r="F43" s="12"/>
      <c r="G43" s="12"/>
      <c r="H43" s="12"/>
      <c r="I43" s="12"/>
      <c r="J43" s="12"/>
      <c r="K43" s="12"/>
      <c r="L43" s="12"/>
      <c r="M43" s="12"/>
      <c r="N43" s="12"/>
    </row>
    <row r="44" customFormat="false" ht="15" hidden="false" customHeight="false" outlineLevel="0" collapsed="false">
      <c r="A44" s="12"/>
      <c r="B44" s="12"/>
      <c r="C44" s="12"/>
      <c r="D44" s="12"/>
      <c r="E44" s="12"/>
      <c r="F44" s="12"/>
      <c r="G44" s="12"/>
      <c r="H44" s="12"/>
      <c r="I44" s="12"/>
      <c r="J44" s="12"/>
      <c r="K44" s="12"/>
      <c r="L44" s="12"/>
      <c r="M44" s="12"/>
      <c r="N44" s="12"/>
    </row>
    <row r="45" customFormat="false" ht="15" hidden="false" customHeight="false" outlineLevel="0" collapsed="false">
      <c r="A45" s="12"/>
      <c r="B45" s="12"/>
      <c r="C45" s="12"/>
      <c r="D45" s="12"/>
      <c r="E45" s="12"/>
      <c r="F45" s="12"/>
      <c r="G45" s="12"/>
      <c r="H45" s="12"/>
      <c r="I45" s="12"/>
      <c r="J45" s="12"/>
      <c r="K45" s="12"/>
      <c r="L45" s="12"/>
      <c r="M45" s="12"/>
      <c r="N45" s="12"/>
    </row>
    <row r="46" customFormat="false" ht="15" hidden="false" customHeight="false" outlineLevel="0" collapsed="false">
      <c r="A46" s="12"/>
      <c r="B46" s="12"/>
      <c r="C46" s="12"/>
      <c r="D46" s="12"/>
      <c r="E46" s="12"/>
      <c r="F46" s="12"/>
      <c r="G46" s="12"/>
      <c r="H46" s="12"/>
      <c r="I46" s="12"/>
      <c r="J46" s="12"/>
      <c r="K46" s="12"/>
      <c r="L46" s="12"/>
      <c r="M46" s="12"/>
      <c r="N46" s="12"/>
    </row>
    <row r="47" customFormat="false" ht="15" hidden="false" customHeight="false" outlineLevel="0" collapsed="false">
      <c r="A47" s="12"/>
      <c r="B47" s="12"/>
      <c r="C47" s="12"/>
      <c r="D47" s="12"/>
      <c r="E47" s="12"/>
      <c r="F47" s="12"/>
      <c r="G47" s="12"/>
      <c r="H47" s="12"/>
      <c r="I47" s="12"/>
      <c r="J47" s="12"/>
      <c r="K47" s="12"/>
      <c r="L47" s="12"/>
      <c r="M47" s="12"/>
      <c r="N47" s="12"/>
    </row>
    <row r="48" customFormat="false" ht="15" hidden="false" customHeight="false" outlineLevel="0" collapsed="false">
      <c r="A48" s="12"/>
      <c r="B48" s="12"/>
      <c r="C48" s="12"/>
      <c r="D48" s="12"/>
      <c r="E48" s="12"/>
      <c r="F48" s="12"/>
      <c r="G48" s="12"/>
      <c r="H48" s="12"/>
      <c r="I48" s="12"/>
      <c r="J48" s="12"/>
      <c r="K48" s="12"/>
      <c r="L48" s="12"/>
      <c r="M48" s="12"/>
      <c r="N48" s="12"/>
    </row>
    <row r="49" customFormat="false" ht="15" hidden="false" customHeight="false" outlineLevel="0" collapsed="false">
      <c r="A49" s="12"/>
      <c r="B49" s="12"/>
      <c r="C49" s="12"/>
      <c r="D49" s="12"/>
      <c r="E49" s="12"/>
      <c r="F49" s="12"/>
      <c r="G49" s="12"/>
      <c r="H49" s="12"/>
      <c r="I49" s="12"/>
      <c r="J49" s="12"/>
      <c r="K49" s="12"/>
      <c r="L49" s="12"/>
      <c r="M49" s="12"/>
      <c r="N49" s="12"/>
    </row>
    <row r="50" customFormat="false" ht="15" hidden="false" customHeight="false" outlineLevel="0" collapsed="false">
      <c r="A50" s="12"/>
      <c r="B50" s="12"/>
      <c r="C50" s="12"/>
      <c r="D50" s="12"/>
      <c r="E50" s="12"/>
      <c r="F50" s="12"/>
      <c r="G50" s="12"/>
      <c r="H50" s="12"/>
      <c r="I50" s="12"/>
      <c r="J50" s="12"/>
      <c r="K50" s="12"/>
      <c r="L50" s="12"/>
      <c r="M50" s="12"/>
      <c r="N50" s="12"/>
    </row>
    <row r="51" customFormat="false" ht="15" hidden="false" customHeight="false" outlineLevel="0" collapsed="false">
      <c r="A51" s="12"/>
      <c r="B51" s="12"/>
      <c r="C51" s="12"/>
      <c r="D51" s="12"/>
      <c r="E51" s="12"/>
      <c r="F51" s="12"/>
      <c r="G51" s="12"/>
      <c r="H51" s="12"/>
      <c r="I51" s="12"/>
      <c r="J51" s="12"/>
      <c r="K51" s="12"/>
      <c r="L51" s="12"/>
      <c r="M51" s="12"/>
      <c r="N51" s="12"/>
    </row>
    <row r="52" customFormat="false" ht="15" hidden="false" customHeight="false" outlineLevel="0" collapsed="false">
      <c r="A52" s="12"/>
      <c r="B52" s="12"/>
      <c r="C52" s="12"/>
      <c r="D52" s="12"/>
      <c r="E52" s="12"/>
      <c r="F52" s="12"/>
      <c r="G52" s="12"/>
      <c r="H52" s="12"/>
      <c r="I52" s="12"/>
      <c r="J52" s="12"/>
      <c r="K52" s="12"/>
      <c r="L52" s="12"/>
      <c r="M52" s="12"/>
      <c r="N52" s="12"/>
    </row>
    <row r="53" customFormat="false" ht="15" hidden="false" customHeight="false" outlineLevel="0" collapsed="false">
      <c r="A53" s="12"/>
      <c r="B53" s="12"/>
      <c r="C53" s="12"/>
      <c r="D53" s="12"/>
      <c r="E53" s="12"/>
      <c r="F53" s="12"/>
      <c r="G53" s="12"/>
      <c r="H53" s="12"/>
      <c r="I53" s="12"/>
      <c r="J53" s="12"/>
      <c r="K53" s="12"/>
      <c r="L53" s="12"/>
      <c r="M53" s="12"/>
      <c r="N53" s="12"/>
    </row>
    <row r="54" customFormat="false" ht="15" hidden="false" customHeight="false" outlineLevel="0" collapsed="false">
      <c r="A54" s="12"/>
      <c r="B54" s="12"/>
      <c r="C54" s="12"/>
      <c r="D54" s="12"/>
      <c r="E54" s="12"/>
      <c r="F54" s="12"/>
      <c r="G54" s="12"/>
      <c r="H54" s="12"/>
      <c r="I54" s="12"/>
      <c r="J54" s="12"/>
      <c r="K54" s="12"/>
      <c r="L54" s="12"/>
      <c r="M54" s="12"/>
      <c r="N54" s="12"/>
    </row>
    <row r="55" customFormat="false" ht="15" hidden="false" customHeight="false" outlineLevel="0" collapsed="false">
      <c r="A55" s="12"/>
      <c r="B55" s="12"/>
      <c r="C55" s="12"/>
      <c r="D55" s="12"/>
      <c r="E55" s="12"/>
      <c r="F55" s="12"/>
      <c r="G55" s="12"/>
      <c r="H55" s="12"/>
      <c r="I55" s="12"/>
      <c r="J55" s="12"/>
      <c r="K55" s="12"/>
      <c r="L55" s="12"/>
      <c r="M55" s="12"/>
      <c r="N55" s="12"/>
    </row>
    <row r="56" customFormat="false" ht="15" hidden="false" customHeight="false" outlineLevel="0" collapsed="false">
      <c r="A56" s="12"/>
      <c r="B56" s="12"/>
      <c r="C56" s="12"/>
      <c r="D56" s="12"/>
      <c r="E56" s="12"/>
      <c r="F56" s="12"/>
      <c r="G56" s="12"/>
      <c r="H56" s="12"/>
      <c r="I56" s="12"/>
      <c r="J56" s="12"/>
      <c r="K56" s="12"/>
      <c r="L56" s="12"/>
      <c r="M56" s="12"/>
      <c r="N56" s="12"/>
    </row>
    <row r="57" customFormat="false" ht="15" hidden="false" customHeight="false" outlineLevel="0" collapsed="false">
      <c r="A57" s="12"/>
      <c r="B57" s="12"/>
      <c r="C57" s="12"/>
      <c r="D57" s="12"/>
      <c r="E57" s="12"/>
      <c r="F57" s="12"/>
      <c r="G57" s="12"/>
      <c r="H57" s="12"/>
      <c r="I57" s="12"/>
      <c r="J57" s="12"/>
      <c r="K57" s="12"/>
      <c r="L57" s="12"/>
      <c r="M57" s="12"/>
      <c r="N57" s="12"/>
    </row>
    <row r="58" customFormat="false" ht="15" hidden="false" customHeight="false" outlineLevel="0" collapsed="false">
      <c r="A58" s="12"/>
      <c r="B58" s="12"/>
      <c r="C58" s="12"/>
      <c r="D58" s="12"/>
      <c r="E58" s="12"/>
      <c r="F58" s="12"/>
      <c r="G58" s="12"/>
      <c r="H58" s="12"/>
      <c r="I58" s="12"/>
      <c r="J58" s="12"/>
      <c r="K58" s="12"/>
      <c r="L58" s="12"/>
      <c r="M58" s="12"/>
      <c r="N58" s="12"/>
    </row>
    <row r="59" customFormat="false" ht="15" hidden="false" customHeight="false" outlineLevel="0" collapsed="false">
      <c r="A59" s="12"/>
      <c r="B59" s="12"/>
      <c r="C59" s="12"/>
      <c r="D59" s="12"/>
      <c r="E59" s="12"/>
      <c r="F59" s="12"/>
      <c r="G59" s="12"/>
      <c r="H59" s="12"/>
      <c r="I59" s="12"/>
      <c r="J59" s="12"/>
      <c r="K59" s="12"/>
      <c r="L59" s="12"/>
      <c r="M59" s="12"/>
      <c r="N59" s="12"/>
    </row>
    <row r="60" customFormat="false" ht="15" hidden="false" customHeight="false" outlineLevel="0" collapsed="false">
      <c r="A60" s="12"/>
      <c r="B60" s="12"/>
      <c r="C60" s="12"/>
      <c r="D60" s="12"/>
      <c r="E60" s="12"/>
      <c r="F60" s="12"/>
      <c r="G60" s="12"/>
      <c r="H60" s="12"/>
      <c r="I60" s="12"/>
      <c r="J60" s="12"/>
      <c r="K60" s="12"/>
      <c r="L60" s="12"/>
      <c r="M60" s="12"/>
      <c r="N60" s="12"/>
    </row>
    <row r="61" customFormat="false" ht="15" hidden="false" customHeight="false" outlineLevel="0" collapsed="false">
      <c r="A61" s="12"/>
      <c r="B61" s="12"/>
      <c r="C61" s="12"/>
      <c r="D61" s="12"/>
      <c r="E61" s="12"/>
      <c r="F61" s="12"/>
      <c r="G61" s="12"/>
      <c r="H61" s="12"/>
      <c r="I61" s="12"/>
      <c r="J61" s="12"/>
      <c r="K61" s="12"/>
      <c r="L61" s="12"/>
      <c r="M61" s="12"/>
      <c r="N61" s="12"/>
    </row>
    <row r="62" customFormat="false" ht="15" hidden="false" customHeight="false" outlineLevel="0" collapsed="false">
      <c r="A62" s="12"/>
      <c r="B62" s="12"/>
      <c r="C62" s="12"/>
      <c r="D62" s="12"/>
      <c r="E62" s="12"/>
      <c r="F62" s="12"/>
      <c r="G62" s="12"/>
      <c r="H62" s="12"/>
      <c r="I62" s="12"/>
      <c r="J62" s="12"/>
      <c r="K62" s="12"/>
      <c r="L62" s="12"/>
      <c r="M62" s="12"/>
      <c r="N62" s="12"/>
    </row>
    <row r="63" customFormat="false" ht="15" hidden="false" customHeight="false" outlineLevel="0" collapsed="false">
      <c r="A63" s="12"/>
      <c r="B63" s="12"/>
      <c r="C63" s="12"/>
      <c r="D63" s="12"/>
      <c r="E63" s="12"/>
      <c r="F63" s="12"/>
      <c r="G63" s="12"/>
      <c r="H63" s="12"/>
      <c r="I63" s="12"/>
      <c r="J63" s="12"/>
      <c r="K63" s="12"/>
      <c r="L63" s="12"/>
      <c r="M63" s="12"/>
      <c r="N63" s="12"/>
    </row>
    <row r="64" customFormat="false" ht="15" hidden="false" customHeight="false" outlineLevel="0" collapsed="false">
      <c r="A64" s="12"/>
      <c r="B64" s="12"/>
      <c r="C64" s="12"/>
      <c r="D64" s="12"/>
      <c r="E64" s="12"/>
      <c r="F64" s="12"/>
      <c r="G64" s="12"/>
      <c r="H64" s="12"/>
      <c r="I64" s="12"/>
      <c r="J64" s="12"/>
      <c r="K64" s="12"/>
      <c r="L64" s="12"/>
      <c r="M64" s="12"/>
      <c r="N64" s="12"/>
    </row>
    <row r="65" customFormat="false" ht="15" hidden="false" customHeight="false" outlineLevel="0" collapsed="false">
      <c r="A65" s="12"/>
      <c r="B65" s="12"/>
      <c r="C65" s="12"/>
      <c r="D65" s="12"/>
      <c r="E65" s="12"/>
      <c r="F65" s="12"/>
      <c r="G65" s="12"/>
      <c r="H65" s="12"/>
      <c r="I65" s="12"/>
      <c r="J65" s="12"/>
      <c r="K65" s="12"/>
      <c r="L65" s="12"/>
      <c r="M65" s="12"/>
      <c r="N65" s="12"/>
    </row>
    <row r="66" customFormat="false" ht="15" hidden="false" customHeight="false" outlineLevel="0" collapsed="false">
      <c r="A66" s="12"/>
      <c r="B66" s="12"/>
      <c r="C66" s="12"/>
      <c r="D66" s="12"/>
      <c r="E66" s="12"/>
      <c r="F66" s="12"/>
      <c r="G66" s="12"/>
      <c r="H66" s="12"/>
      <c r="I66" s="12"/>
      <c r="J66" s="12"/>
      <c r="K66" s="12"/>
      <c r="L66" s="12"/>
      <c r="M66" s="12"/>
      <c r="N66" s="12"/>
    </row>
    <row r="67" customFormat="false" ht="15" hidden="false" customHeight="false" outlineLevel="0" collapsed="false">
      <c r="A67" s="12"/>
      <c r="B67" s="12"/>
      <c r="C67" s="12"/>
      <c r="D67" s="12"/>
      <c r="E67" s="12"/>
      <c r="F67" s="12"/>
      <c r="G67" s="12"/>
      <c r="H67" s="12"/>
      <c r="I67" s="12"/>
      <c r="J67" s="12"/>
      <c r="K67" s="12"/>
      <c r="L67" s="12"/>
      <c r="M67" s="12"/>
      <c r="N67" s="12"/>
    </row>
    <row r="68" customFormat="false" ht="15" hidden="false" customHeight="false" outlineLevel="0" collapsed="false">
      <c r="A68" s="12"/>
      <c r="B68" s="12"/>
      <c r="C68" s="12"/>
      <c r="D68" s="12"/>
      <c r="E68" s="12"/>
      <c r="F68" s="12"/>
      <c r="G68" s="12"/>
      <c r="H68" s="12"/>
      <c r="I68" s="12"/>
      <c r="J68" s="12"/>
      <c r="K68" s="12"/>
      <c r="L68" s="12"/>
      <c r="M68" s="12"/>
      <c r="N68" s="12"/>
    </row>
  </sheetData>
  <autoFilter ref="A1:N68"/>
  <dataValidations count="2">
    <dataValidation allowBlank="true" error="Pick a value from the list" errorStyle="stop" errorTitle="Invalid value" operator="between" showDropDown="false" showErrorMessage="false" showInputMessage="false" sqref="D3:D68" type="list">
      <formula1>"veneer,colour,fabric,laminate"</formula1>
      <formula2>0</formula2>
    </dataValidation>
    <dataValidation allowBlank="true" error="Pick a value from the list" errorStyle="stop" errorTitle="Invalid value" operator="between" showDropDown="false" showErrorMessage="false" showInputMessage="false" sqref="F3:F68 M3:M68"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16"/>
    <col collapsed="false" customWidth="true" hidden="false" outlineLevel="0" max="4" min="4" style="0" width="26"/>
    <col collapsed="false" customWidth="true" hidden="false" outlineLevel="0" max="5" min="5" style="0" width="16"/>
    <col collapsed="false" customWidth="true" hidden="false" outlineLevel="0" max="6" min="6" style="0" width="20"/>
    <col collapsed="false" customWidth="true" hidden="false" outlineLevel="0" max="8" min="7" style="0" width="12"/>
    <col collapsed="false" customWidth="true" hidden="false" outlineLevel="0" max="9" min="9" style="0" width="40"/>
    <col collapsed="false" customWidth="true" hidden="false" outlineLevel="0" max="10" min="10" style="0" width="8"/>
    <col collapsed="false" customWidth="true" hidden="false" outlineLevel="0" max="11" min="11" style="0" width="26"/>
  </cols>
  <sheetData>
    <row r="1" customFormat="false" ht="31.5" hidden="false" customHeight="true" outlineLevel="0" collapsed="false">
      <c r="A1" s="4" t="s">
        <v>390</v>
      </c>
      <c r="B1" s="4" t="s">
        <v>731</v>
      </c>
      <c r="C1" s="4" t="s">
        <v>732</v>
      </c>
      <c r="D1" s="4" t="s">
        <v>733</v>
      </c>
      <c r="E1" s="4" t="s">
        <v>676</v>
      </c>
      <c r="F1" s="4" t="s">
        <v>734</v>
      </c>
      <c r="G1" s="4" t="s">
        <v>735</v>
      </c>
      <c r="H1" s="4" t="s">
        <v>736</v>
      </c>
      <c r="I1" s="4" t="s">
        <v>737</v>
      </c>
      <c r="J1" s="4" t="s">
        <v>738</v>
      </c>
      <c r="K1" s="4" t="s">
        <v>31</v>
      </c>
    </row>
    <row r="2" customFormat="false" ht="63.75" hidden="false" customHeight="true" outlineLevel="0" collapsed="false">
      <c r="A2" s="7" t="s">
        <v>427</v>
      </c>
      <c r="B2" s="7" t="s">
        <v>739</v>
      </c>
      <c r="C2" s="7" t="s">
        <v>437</v>
      </c>
      <c r="D2" s="7" t="s">
        <v>740</v>
      </c>
      <c r="E2" s="7"/>
      <c r="F2" s="7"/>
      <c r="G2" s="7" t="s">
        <v>43</v>
      </c>
      <c r="H2" s="7" t="s">
        <v>43</v>
      </c>
      <c r="I2" s="7" t="s">
        <v>454</v>
      </c>
      <c r="J2" s="7" t="s">
        <v>451</v>
      </c>
      <c r="K2" s="7"/>
    </row>
    <row r="3" customFormat="false" ht="48" hidden="false" customHeight="true" outlineLevel="0" collapsed="false">
      <c r="A3" s="10" t="s">
        <v>456</v>
      </c>
      <c r="B3" s="10" t="s">
        <v>741</v>
      </c>
      <c r="C3" s="10" t="s">
        <v>462</v>
      </c>
      <c r="D3" s="10" t="s">
        <v>742</v>
      </c>
      <c r="E3" s="10" t="s">
        <v>743</v>
      </c>
      <c r="F3" s="10" t="s">
        <v>744</v>
      </c>
      <c r="G3" s="10" t="s">
        <v>745</v>
      </c>
      <c r="H3" s="10" t="s">
        <v>746</v>
      </c>
      <c r="I3" s="10" t="s">
        <v>473</v>
      </c>
      <c r="J3" s="10" t="s">
        <v>548</v>
      </c>
      <c r="K3" s="10" t="s">
        <v>747</v>
      </c>
    </row>
    <row r="4" customFormat="false" ht="15" hidden="false" customHeight="false" outlineLevel="0" collapsed="false">
      <c r="A4" s="11" t="s">
        <v>514</v>
      </c>
      <c r="B4" s="12"/>
      <c r="C4" s="11" t="s">
        <v>517</v>
      </c>
      <c r="D4" s="12"/>
      <c r="E4" s="12"/>
      <c r="F4" s="12"/>
      <c r="G4" s="12"/>
      <c r="H4" s="12"/>
      <c r="I4" s="11" t="s">
        <v>525</v>
      </c>
      <c r="J4" s="11" t="s">
        <v>548</v>
      </c>
      <c r="K4" s="11" t="s">
        <v>748</v>
      </c>
    </row>
    <row r="5" customFormat="false" ht="15" hidden="false" customHeight="false" outlineLevel="0" collapsed="false">
      <c r="A5" s="11" t="s">
        <v>527</v>
      </c>
      <c r="B5" s="12"/>
      <c r="C5" s="11" t="s">
        <v>462</v>
      </c>
      <c r="D5" s="12"/>
      <c r="E5" s="12"/>
      <c r="F5" s="12"/>
      <c r="G5" s="12"/>
      <c r="H5" s="12"/>
      <c r="I5" s="11" t="s">
        <v>534</v>
      </c>
      <c r="J5" s="11" t="s">
        <v>548</v>
      </c>
      <c r="K5" s="11" t="s">
        <v>748</v>
      </c>
    </row>
    <row r="6" customFormat="false" ht="15" hidden="false" customHeight="false" outlineLevel="0" collapsed="false">
      <c r="A6" s="11" t="s">
        <v>456</v>
      </c>
      <c r="B6" s="12"/>
      <c r="C6" s="11" t="s">
        <v>462</v>
      </c>
      <c r="D6" s="12"/>
      <c r="E6" s="12"/>
      <c r="F6" s="12"/>
      <c r="G6" s="12"/>
      <c r="H6" s="12"/>
      <c r="I6" s="11" t="s">
        <v>473</v>
      </c>
      <c r="J6" s="11" t="s">
        <v>548</v>
      </c>
      <c r="K6" s="11" t="s">
        <v>748</v>
      </c>
    </row>
    <row r="7" customFormat="false" ht="15" hidden="false" customHeight="false" outlineLevel="0" collapsed="false">
      <c r="A7" s="12"/>
      <c r="B7" s="12"/>
      <c r="C7" s="12"/>
      <c r="D7" s="12"/>
      <c r="E7" s="12"/>
      <c r="F7" s="12"/>
      <c r="G7" s="12"/>
      <c r="H7" s="12"/>
      <c r="I7" s="12"/>
      <c r="J7" s="12"/>
      <c r="K7" s="12"/>
    </row>
    <row r="8" customFormat="false" ht="15" hidden="false" customHeight="false" outlineLevel="0" collapsed="false">
      <c r="A8" s="12"/>
      <c r="B8" s="12"/>
      <c r="C8" s="12"/>
      <c r="D8" s="12"/>
      <c r="E8" s="12"/>
      <c r="F8" s="12"/>
      <c r="G8" s="12"/>
      <c r="H8" s="12"/>
      <c r="I8" s="12"/>
      <c r="J8" s="12"/>
      <c r="K8" s="12"/>
    </row>
    <row r="9" customFormat="false" ht="15" hidden="false" customHeight="false" outlineLevel="0" collapsed="false">
      <c r="A9" s="12"/>
      <c r="B9" s="12"/>
      <c r="C9" s="12"/>
      <c r="D9" s="12"/>
      <c r="E9" s="12"/>
      <c r="F9" s="12"/>
      <c r="G9" s="12"/>
      <c r="H9" s="12"/>
      <c r="I9" s="12"/>
      <c r="J9" s="12"/>
      <c r="K9" s="12"/>
    </row>
    <row r="10" customFormat="false" ht="15" hidden="false" customHeight="false" outlineLevel="0" collapsed="false">
      <c r="A10" s="12"/>
      <c r="B10" s="12"/>
      <c r="C10" s="12"/>
      <c r="D10" s="12"/>
      <c r="E10" s="12"/>
      <c r="F10" s="12"/>
      <c r="G10" s="12"/>
      <c r="H10" s="12"/>
      <c r="I10" s="12"/>
      <c r="J10" s="12"/>
      <c r="K10" s="12"/>
    </row>
    <row r="11" customFormat="false" ht="15" hidden="false" customHeight="false" outlineLevel="0" collapsed="false">
      <c r="A11" s="12"/>
      <c r="B11" s="12"/>
      <c r="C11" s="12"/>
      <c r="D11" s="12"/>
      <c r="E11" s="12"/>
      <c r="F11" s="12"/>
      <c r="G11" s="12"/>
      <c r="H11" s="12"/>
      <c r="I11" s="12"/>
      <c r="J11" s="12"/>
      <c r="K11" s="12"/>
    </row>
    <row r="12" customFormat="false" ht="15" hidden="false" customHeight="false" outlineLevel="0" collapsed="false">
      <c r="A12" s="12"/>
      <c r="B12" s="12"/>
      <c r="C12" s="12"/>
      <c r="D12" s="12"/>
      <c r="E12" s="12"/>
      <c r="F12" s="12"/>
      <c r="G12" s="12"/>
      <c r="H12" s="12"/>
      <c r="I12" s="12"/>
      <c r="J12" s="12"/>
      <c r="K12" s="12"/>
    </row>
    <row r="13" customFormat="false" ht="15" hidden="false" customHeight="false" outlineLevel="0" collapsed="false">
      <c r="A13" s="12"/>
      <c r="B13" s="12"/>
      <c r="C13" s="12"/>
      <c r="D13" s="12"/>
      <c r="E13" s="12"/>
      <c r="F13" s="12"/>
      <c r="G13" s="12"/>
      <c r="H13" s="12"/>
      <c r="I13" s="12"/>
      <c r="J13" s="12"/>
      <c r="K13" s="12"/>
    </row>
    <row r="14" customFormat="false" ht="15" hidden="false" customHeight="false" outlineLevel="0" collapsed="false">
      <c r="A14" s="12"/>
      <c r="B14" s="12"/>
      <c r="C14" s="12"/>
      <c r="D14" s="12"/>
      <c r="E14" s="12"/>
      <c r="F14" s="12"/>
      <c r="G14" s="12"/>
      <c r="H14" s="12"/>
      <c r="I14" s="12"/>
      <c r="J14" s="12"/>
      <c r="K14" s="12"/>
    </row>
    <row r="15" customFormat="false" ht="15" hidden="false" customHeight="false" outlineLevel="0" collapsed="false">
      <c r="A15" s="12"/>
      <c r="B15" s="12"/>
      <c r="C15" s="12"/>
      <c r="D15" s="12"/>
      <c r="E15" s="12"/>
      <c r="F15" s="12"/>
      <c r="G15" s="12"/>
      <c r="H15" s="12"/>
      <c r="I15" s="12"/>
      <c r="J15" s="12"/>
      <c r="K15" s="12"/>
    </row>
    <row r="16" customFormat="false" ht="15" hidden="false" customHeight="false" outlineLevel="0" collapsed="false">
      <c r="A16" s="12"/>
      <c r="B16" s="12"/>
      <c r="C16" s="12"/>
      <c r="D16" s="12"/>
      <c r="E16" s="12"/>
      <c r="F16" s="12"/>
      <c r="G16" s="12"/>
      <c r="H16" s="12"/>
      <c r="I16" s="12"/>
      <c r="J16" s="12"/>
      <c r="K16" s="12"/>
    </row>
    <row r="17" customFormat="false" ht="15" hidden="false" customHeight="false" outlineLevel="0" collapsed="false">
      <c r="A17" s="12"/>
      <c r="B17" s="12"/>
      <c r="C17" s="12"/>
      <c r="D17" s="12"/>
      <c r="E17" s="12"/>
      <c r="F17" s="12"/>
      <c r="G17" s="12"/>
      <c r="H17" s="12"/>
      <c r="I17" s="12"/>
      <c r="J17" s="12"/>
      <c r="K17" s="12"/>
    </row>
    <row r="18" customFormat="false" ht="15" hidden="false" customHeight="false" outlineLevel="0" collapsed="false">
      <c r="A18" s="12"/>
      <c r="B18" s="12"/>
      <c r="C18" s="12"/>
      <c r="D18" s="12"/>
      <c r="E18" s="12"/>
      <c r="F18" s="12"/>
      <c r="G18" s="12"/>
      <c r="H18" s="12"/>
      <c r="I18" s="12"/>
      <c r="J18" s="12"/>
      <c r="K18" s="12"/>
    </row>
    <row r="19" customFormat="false" ht="15" hidden="false" customHeight="false" outlineLevel="0" collapsed="false">
      <c r="A19" s="12"/>
      <c r="B19" s="12"/>
      <c r="C19" s="12"/>
      <c r="D19" s="12"/>
      <c r="E19" s="12"/>
      <c r="F19" s="12"/>
      <c r="G19" s="12"/>
      <c r="H19" s="12"/>
      <c r="I19" s="12"/>
      <c r="J19" s="12"/>
      <c r="K19" s="12"/>
    </row>
    <row r="20" customFormat="false" ht="15" hidden="false" customHeight="false" outlineLevel="0" collapsed="false">
      <c r="A20" s="12"/>
      <c r="B20" s="12"/>
      <c r="C20" s="12"/>
      <c r="D20" s="12"/>
      <c r="E20" s="12"/>
      <c r="F20" s="12"/>
      <c r="G20" s="12"/>
      <c r="H20" s="12"/>
      <c r="I20" s="12"/>
      <c r="J20" s="12"/>
      <c r="K20" s="12"/>
    </row>
    <row r="21" customFormat="false" ht="15" hidden="false" customHeight="false" outlineLevel="0" collapsed="false">
      <c r="A21" s="12"/>
      <c r="B21" s="12"/>
      <c r="C21" s="12"/>
      <c r="D21" s="12"/>
      <c r="E21" s="12"/>
      <c r="F21" s="12"/>
      <c r="G21" s="12"/>
      <c r="H21" s="12"/>
      <c r="I21" s="12"/>
      <c r="J21" s="12"/>
      <c r="K21" s="12"/>
    </row>
    <row r="22" customFormat="false" ht="15" hidden="false" customHeight="false" outlineLevel="0" collapsed="false">
      <c r="A22" s="12"/>
      <c r="B22" s="12"/>
      <c r="C22" s="12"/>
      <c r="D22" s="12"/>
      <c r="E22" s="12"/>
      <c r="F22" s="12"/>
      <c r="G22" s="12"/>
      <c r="H22" s="12"/>
      <c r="I22" s="12"/>
      <c r="J22" s="12"/>
      <c r="K22" s="12"/>
    </row>
    <row r="23" customFormat="false" ht="15" hidden="false" customHeight="false" outlineLevel="0" collapsed="false">
      <c r="A23" s="12"/>
      <c r="B23" s="12"/>
      <c r="C23" s="12"/>
      <c r="D23" s="12"/>
      <c r="E23" s="12"/>
      <c r="F23" s="12"/>
      <c r="G23" s="12"/>
      <c r="H23" s="12"/>
      <c r="I23" s="12"/>
      <c r="J23" s="12"/>
      <c r="K23" s="12"/>
    </row>
    <row r="24" customFormat="false" ht="15" hidden="false" customHeight="false" outlineLevel="0" collapsed="false">
      <c r="A24" s="12"/>
      <c r="B24" s="12"/>
      <c r="C24" s="12"/>
      <c r="D24" s="12"/>
      <c r="E24" s="12"/>
      <c r="F24" s="12"/>
      <c r="G24" s="12"/>
      <c r="H24" s="12"/>
      <c r="I24" s="12"/>
      <c r="J24" s="12"/>
      <c r="K24" s="12"/>
    </row>
    <row r="25" customFormat="false" ht="15" hidden="false" customHeight="false" outlineLevel="0" collapsed="false">
      <c r="A25" s="12"/>
      <c r="B25" s="12"/>
      <c r="C25" s="12"/>
      <c r="D25" s="12"/>
      <c r="E25" s="12"/>
      <c r="F25" s="12"/>
      <c r="G25" s="12"/>
      <c r="H25" s="12"/>
      <c r="I25" s="12"/>
      <c r="J25" s="12"/>
      <c r="K25" s="12"/>
    </row>
    <row r="26" customFormat="false" ht="15" hidden="false" customHeight="false" outlineLevel="0" collapsed="false">
      <c r="A26" s="12"/>
      <c r="B26" s="12"/>
      <c r="C26" s="12"/>
      <c r="D26" s="12"/>
      <c r="E26" s="12"/>
      <c r="F26" s="12"/>
      <c r="G26" s="12"/>
      <c r="H26" s="12"/>
      <c r="I26" s="12"/>
      <c r="J26" s="12"/>
      <c r="K26" s="12"/>
    </row>
  </sheetData>
  <autoFilter ref="A1:K26"/>
  <dataValidations count="1">
    <dataValidation allowBlank="true" error="Pick a value from the list" errorStyle="stop" errorTitle="Invalid value" operator="between" showDropDown="false" showErrorMessage="false" showInputMessage="false" sqref="J3:J26"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2" min="1" style="0" width="16"/>
    <col collapsed="false" customWidth="true" hidden="false" outlineLevel="0" max="3" min="3" style="0" width="22"/>
    <col collapsed="false" customWidth="true" hidden="false" outlineLevel="0" max="4" min="4" style="0" width="28"/>
    <col collapsed="false" customWidth="true" hidden="false" outlineLevel="0" max="12" min="5" style="0" width="26"/>
    <col collapsed="false" customWidth="true" hidden="false" outlineLevel="0" max="13" min="13" style="0" width="16"/>
    <col collapsed="false" customWidth="true" hidden="false" outlineLevel="0" max="14" min="14" style="0" width="28"/>
    <col collapsed="false" customWidth="true" hidden="false" outlineLevel="0" max="15" min="15" style="0" width="36"/>
    <col collapsed="false" customWidth="true" hidden="false" outlineLevel="0" max="16" min="16" style="0" width="8"/>
    <col collapsed="false" customWidth="true" hidden="false" outlineLevel="0" max="17" min="17" style="0" width="24"/>
  </cols>
  <sheetData>
    <row r="1" customFormat="false" ht="31.5" hidden="false" customHeight="true" outlineLevel="0" collapsed="false">
      <c r="A1" s="4" t="s">
        <v>390</v>
      </c>
      <c r="B1" s="4" t="s">
        <v>749</v>
      </c>
      <c r="C1" s="4" t="s">
        <v>750</v>
      </c>
      <c r="D1" s="4" t="s">
        <v>751</v>
      </c>
      <c r="E1" s="4" t="s">
        <v>752</v>
      </c>
      <c r="F1" s="4" t="s">
        <v>753</v>
      </c>
      <c r="G1" s="4" t="s">
        <v>754</v>
      </c>
      <c r="H1" s="4" t="s">
        <v>755</v>
      </c>
      <c r="I1" s="4" t="s">
        <v>756</v>
      </c>
      <c r="J1" s="4" t="s">
        <v>757</v>
      </c>
      <c r="K1" s="4" t="s">
        <v>758</v>
      </c>
      <c r="L1" s="4" t="s">
        <v>759</v>
      </c>
      <c r="M1" s="4" t="s">
        <v>760</v>
      </c>
      <c r="N1" s="4" t="s">
        <v>761</v>
      </c>
      <c r="O1" s="4" t="s">
        <v>418</v>
      </c>
      <c r="P1" s="4" t="s">
        <v>762</v>
      </c>
      <c r="Q1" s="4" t="s">
        <v>31</v>
      </c>
    </row>
    <row r="2" customFormat="false" ht="63.75" hidden="false" customHeight="true" outlineLevel="0" collapsed="false">
      <c r="A2" s="7" t="s">
        <v>427</v>
      </c>
      <c r="B2" s="7" t="s">
        <v>763</v>
      </c>
      <c r="C2" s="7" t="s">
        <v>764</v>
      </c>
      <c r="D2" s="7"/>
      <c r="E2" s="7" t="s">
        <v>765</v>
      </c>
      <c r="F2" s="7"/>
      <c r="G2" s="7"/>
      <c r="H2" s="7"/>
      <c r="I2" s="7"/>
      <c r="J2" s="7"/>
      <c r="K2" s="7"/>
      <c r="L2" s="7"/>
      <c r="M2" s="7" t="s">
        <v>766</v>
      </c>
      <c r="N2" s="7" t="s">
        <v>767</v>
      </c>
      <c r="O2" s="7" t="s">
        <v>454</v>
      </c>
      <c r="P2" s="7" t="s">
        <v>621</v>
      </c>
      <c r="Q2" s="7"/>
    </row>
    <row r="3" customFormat="false" ht="48" hidden="false" customHeight="true" outlineLevel="0" collapsed="false">
      <c r="A3" s="10" t="s">
        <v>514</v>
      </c>
      <c r="B3" s="10" t="s">
        <v>768</v>
      </c>
      <c r="C3" s="10" t="s">
        <v>769</v>
      </c>
      <c r="D3" s="10" t="s">
        <v>770</v>
      </c>
      <c r="E3" s="10" t="s">
        <v>771</v>
      </c>
      <c r="F3" s="10" t="s">
        <v>772</v>
      </c>
      <c r="G3" s="10" t="s">
        <v>773</v>
      </c>
      <c r="H3" s="10" t="s">
        <v>349</v>
      </c>
      <c r="I3" s="10"/>
      <c r="J3" s="10"/>
      <c r="K3" s="10"/>
      <c r="L3" s="10"/>
      <c r="M3" s="10" t="s">
        <v>774</v>
      </c>
      <c r="N3" s="10"/>
      <c r="O3" s="10" t="s">
        <v>522</v>
      </c>
      <c r="P3" s="10" t="s">
        <v>77</v>
      </c>
      <c r="Q3" s="10" t="s">
        <v>747</v>
      </c>
    </row>
    <row r="4" customFormat="false" ht="15" hidden="false" customHeight="false" outlineLevel="0" collapsed="false">
      <c r="A4" s="12"/>
      <c r="B4" s="12"/>
      <c r="C4" s="12"/>
      <c r="D4" s="12"/>
      <c r="E4" s="12"/>
      <c r="F4" s="12"/>
      <c r="G4" s="12"/>
      <c r="H4" s="12"/>
      <c r="I4" s="12"/>
      <c r="J4" s="12"/>
      <c r="K4" s="12"/>
      <c r="L4" s="12"/>
      <c r="M4" s="12"/>
      <c r="N4" s="12"/>
      <c r="O4" s="12"/>
      <c r="P4" s="12"/>
      <c r="Q4" s="12"/>
    </row>
    <row r="5" customFormat="false" ht="15" hidden="false" customHeight="false" outlineLevel="0" collapsed="false">
      <c r="A5" s="12"/>
      <c r="B5" s="12"/>
      <c r="C5" s="12"/>
      <c r="D5" s="12"/>
      <c r="E5" s="12"/>
      <c r="F5" s="12"/>
      <c r="G5" s="12"/>
      <c r="H5" s="12"/>
      <c r="I5" s="12"/>
      <c r="J5" s="12"/>
      <c r="K5" s="12"/>
      <c r="L5" s="12"/>
      <c r="M5" s="12"/>
      <c r="N5" s="12"/>
      <c r="O5" s="12"/>
      <c r="P5" s="12"/>
      <c r="Q5" s="12"/>
    </row>
    <row r="6" customFormat="false" ht="15" hidden="false" customHeight="false" outlineLevel="0" collapsed="false">
      <c r="A6" s="12"/>
      <c r="B6" s="12"/>
      <c r="C6" s="12"/>
      <c r="D6" s="12"/>
      <c r="E6" s="12"/>
      <c r="F6" s="12"/>
      <c r="G6" s="12"/>
      <c r="H6" s="12"/>
      <c r="I6" s="12"/>
      <c r="J6" s="12"/>
      <c r="K6" s="12"/>
      <c r="L6" s="12"/>
      <c r="M6" s="12"/>
      <c r="N6" s="12"/>
      <c r="O6" s="12"/>
      <c r="P6" s="12"/>
      <c r="Q6" s="12"/>
    </row>
    <row r="7" customFormat="false" ht="15" hidden="false" customHeight="false" outlineLevel="0" collapsed="false">
      <c r="A7" s="12"/>
      <c r="B7" s="12"/>
      <c r="C7" s="12"/>
      <c r="D7" s="12"/>
      <c r="E7" s="12"/>
      <c r="F7" s="12"/>
      <c r="G7" s="12"/>
      <c r="H7" s="12"/>
      <c r="I7" s="12"/>
      <c r="J7" s="12"/>
      <c r="K7" s="12"/>
      <c r="L7" s="12"/>
      <c r="M7" s="12"/>
      <c r="N7" s="12"/>
      <c r="O7" s="12"/>
      <c r="P7" s="12"/>
      <c r="Q7" s="12"/>
    </row>
    <row r="8" customFormat="false" ht="15" hidden="false" customHeight="false" outlineLevel="0" collapsed="false">
      <c r="A8" s="12"/>
      <c r="B8" s="12"/>
      <c r="C8" s="12"/>
      <c r="D8" s="12"/>
      <c r="E8" s="12"/>
      <c r="F8" s="12"/>
      <c r="G8" s="12"/>
      <c r="H8" s="12"/>
      <c r="I8" s="12"/>
      <c r="J8" s="12"/>
      <c r="K8" s="12"/>
      <c r="L8" s="12"/>
      <c r="M8" s="12"/>
      <c r="N8" s="12"/>
      <c r="O8" s="12"/>
      <c r="P8" s="12"/>
      <c r="Q8" s="12"/>
    </row>
    <row r="9" customFormat="false" ht="15" hidden="false" customHeight="false" outlineLevel="0" collapsed="false">
      <c r="A9" s="12"/>
      <c r="B9" s="12"/>
      <c r="C9" s="12"/>
      <c r="D9" s="12"/>
      <c r="E9" s="12"/>
      <c r="F9" s="12"/>
      <c r="G9" s="12"/>
      <c r="H9" s="12"/>
      <c r="I9" s="12"/>
      <c r="J9" s="12"/>
      <c r="K9" s="12"/>
      <c r="L9" s="12"/>
      <c r="M9" s="12"/>
      <c r="N9" s="12"/>
      <c r="O9" s="12"/>
      <c r="P9" s="12"/>
      <c r="Q9" s="12"/>
    </row>
    <row r="10" customFormat="false" ht="15" hidden="false" customHeight="false" outlineLevel="0" collapsed="false">
      <c r="A10" s="12"/>
      <c r="B10" s="12"/>
      <c r="C10" s="12"/>
      <c r="D10" s="12"/>
      <c r="E10" s="12"/>
      <c r="F10" s="12"/>
      <c r="G10" s="12"/>
      <c r="H10" s="12"/>
      <c r="I10" s="12"/>
      <c r="J10" s="12"/>
      <c r="K10" s="12"/>
      <c r="L10" s="12"/>
      <c r="M10" s="12"/>
      <c r="N10" s="12"/>
      <c r="O10" s="12"/>
      <c r="P10" s="12"/>
      <c r="Q10" s="12"/>
    </row>
    <row r="11" customFormat="false" ht="15" hidden="false" customHeight="false" outlineLevel="0" collapsed="false">
      <c r="A11" s="12"/>
      <c r="B11" s="12"/>
      <c r="C11" s="12"/>
      <c r="D11" s="12"/>
      <c r="E11" s="12"/>
      <c r="F11" s="12"/>
      <c r="G11" s="12"/>
      <c r="H11" s="12"/>
      <c r="I11" s="12"/>
      <c r="J11" s="12"/>
      <c r="K11" s="12"/>
      <c r="L11" s="12"/>
      <c r="M11" s="12"/>
      <c r="N11" s="12"/>
      <c r="O11" s="12"/>
      <c r="P11" s="12"/>
      <c r="Q11" s="12"/>
    </row>
    <row r="12" customFormat="false" ht="15" hidden="false" customHeight="false" outlineLevel="0" collapsed="false">
      <c r="A12" s="12"/>
      <c r="B12" s="12"/>
      <c r="C12" s="12"/>
      <c r="D12" s="12"/>
      <c r="E12" s="12"/>
      <c r="F12" s="12"/>
      <c r="G12" s="12"/>
      <c r="H12" s="12"/>
      <c r="I12" s="12"/>
      <c r="J12" s="12"/>
      <c r="K12" s="12"/>
      <c r="L12" s="12"/>
      <c r="M12" s="12"/>
      <c r="N12" s="12"/>
      <c r="O12" s="12"/>
      <c r="P12" s="12"/>
      <c r="Q12" s="12"/>
    </row>
    <row r="13" customFormat="false" ht="15" hidden="false" customHeight="false" outlineLevel="0" collapsed="false">
      <c r="A13" s="12"/>
      <c r="B13" s="12"/>
      <c r="C13" s="12"/>
      <c r="D13" s="12"/>
      <c r="E13" s="12"/>
      <c r="F13" s="12"/>
      <c r="G13" s="12"/>
      <c r="H13" s="12"/>
      <c r="I13" s="12"/>
      <c r="J13" s="12"/>
      <c r="K13" s="12"/>
      <c r="L13" s="12"/>
      <c r="M13" s="12"/>
      <c r="N13" s="12"/>
      <c r="O13" s="12"/>
      <c r="P13" s="12"/>
      <c r="Q13" s="12"/>
    </row>
    <row r="14" customFormat="false" ht="15" hidden="false" customHeight="false" outlineLevel="0" collapsed="false">
      <c r="A14" s="12"/>
      <c r="B14" s="12"/>
      <c r="C14" s="12"/>
      <c r="D14" s="12"/>
      <c r="E14" s="12"/>
      <c r="F14" s="12"/>
      <c r="G14" s="12"/>
      <c r="H14" s="12"/>
      <c r="I14" s="12"/>
      <c r="J14" s="12"/>
      <c r="K14" s="12"/>
      <c r="L14" s="12"/>
      <c r="M14" s="12"/>
      <c r="N14" s="12"/>
      <c r="O14" s="12"/>
      <c r="P14" s="12"/>
      <c r="Q14" s="12"/>
    </row>
    <row r="15" customFormat="false" ht="15" hidden="false" customHeight="false" outlineLevel="0" collapsed="false">
      <c r="A15" s="12"/>
      <c r="B15" s="12"/>
      <c r="C15" s="12"/>
      <c r="D15" s="12"/>
      <c r="E15" s="12"/>
      <c r="F15" s="12"/>
      <c r="G15" s="12"/>
      <c r="H15" s="12"/>
      <c r="I15" s="12"/>
      <c r="J15" s="12"/>
      <c r="K15" s="12"/>
      <c r="L15" s="12"/>
      <c r="M15" s="12"/>
      <c r="N15" s="12"/>
      <c r="O15" s="12"/>
      <c r="P15" s="12"/>
      <c r="Q15" s="12"/>
    </row>
    <row r="16" customFormat="false" ht="15" hidden="false" customHeight="false" outlineLevel="0" collapsed="false">
      <c r="A16" s="12"/>
      <c r="B16" s="12"/>
      <c r="C16" s="12"/>
      <c r="D16" s="12"/>
      <c r="E16" s="12"/>
      <c r="F16" s="12"/>
      <c r="G16" s="12"/>
      <c r="H16" s="12"/>
      <c r="I16" s="12"/>
      <c r="J16" s="12"/>
      <c r="K16" s="12"/>
      <c r="L16" s="12"/>
      <c r="M16" s="12"/>
      <c r="N16" s="12"/>
      <c r="O16" s="12"/>
      <c r="P16" s="12"/>
      <c r="Q16" s="12"/>
    </row>
    <row r="17" customFormat="false" ht="15" hidden="false" customHeight="false" outlineLevel="0" collapsed="false">
      <c r="A17" s="12"/>
      <c r="B17" s="12"/>
      <c r="C17" s="12"/>
      <c r="D17" s="12"/>
      <c r="E17" s="12"/>
      <c r="F17" s="12"/>
      <c r="G17" s="12"/>
      <c r="H17" s="12"/>
      <c r="I17" s="12"/>
      <c r="J17" s="12"/>
      <c r="K17" s="12"/>
      <c r="L17" s="12"/>
      <c r="M17" s="12"/>
      <c r="N17" s="12"/>
      <c r="O17" s="12"/>
      <c r="P17" s="12"/>
      <c r="Q17" s="12"/>
    </row>
    <row r="18" customFormat="false" ht="15" hidden="false" customHeight="false" outlineLevel="0" collapsed="false">
      <c r="A18" s="12"/>
      <c r="B18" s="12"/>
      <c r="C18" s="12"/>
      <c r="D18" s="12"/>
      <c r="E18" s="12"/>
      <c r="F18" s="12"/>
      <c r="G18" s="12"/>
      <c r="H18" s="12"/>
      <c r="I18" s="12"/>
      <c r="J18" s="12"/>
      <c r="K18" s="12"/>
      <c r="L18" s="12"/>
      <c r="M18" s="12"/>
      <c r="N18" s="12"/>
      <c r="O18" s="12"/>
      <c r="P18" s="12"/>
      <c r="Q18" s="12"/>
    </row>
    <row r="19" customFormat="false" ht="15" hidden="false" customHeight="false" outlineLevel="0" collapsed="false">
      <c r="A19" s="12"/>
      <c r="B19" s="12"/>
      <c r="C19" s="12"/>
      <c r="D19" s="12"/>
      <c r="E19" s="12"/>
      <c r="F19" s="12"/>
      <c r="G19" s="12"/>
      <c r="H19" s="12"/>
      <c r="I19" s="12"/>
      <c r="J19" s="12"/>
      <c r="K19" s="12"/>
      <c r="L19" s="12"/>
      <c r="M19" s="12"/>
      <c r="N19" s="12"/>
      <c r="O19" s="12"/>
      <c r="P19" s="12"/>
      <c r="Q19" s="12"/>
    </row>
    <row r="20" customFormat="false" ht="15" hidden="false" customHeight="false" outlineLevel="0" collapsed="false">
      <c r="A20" s="12"/>
      <c r="B20" s="12"/>
      <c r="C20" s="12"/>
      <c r="D20" s="12"/>
      <c r="E20" s="12"/>
      <c r="F20" s="12"/>
      <c r="G20" s="12"/>
      <c r="H20" s="12"/>
      <c r="I20" s="12"/>
      <c r="J20" s="12"/>
      <c r="K20" s="12"/>
      <c r="L20" s="12"/>
      <c r="M20" s="12"/>
      <c r="N20" s="12"/>
      <c r="O20" s="12"/>
      <c r="P20" s="12"/>
      <c r="Q20" s="12"/>
    </row>
    <row r="21" customFormat="false" ht="15" hidden="false" customHeight="false" outlineLevel="0" collapsed="false">
      <c r="A21" s="12"/>
      <c r="B21" s="12"/>
      <c r="C21" s="12"/>
      <c r="D21" s="12"/>
      <c r="E21" s="12"/>
      <c r="F21" s="12"/>
      <c r="G21" s="12"/>
      <c r="H21" s="12"/>
      <c r="I21" s="12"/>
      <c r="J21" s="12"/>
      <c r="K21" s="12"/>
      <c r="L21" s="12"/>
      <c r="M21" s="12"/>
      <c r="N21" s="12"/>
      <c r="O21" s="12"/>
      <c r="P21" s="12"/>
      <c r="Q21" s="12"/>
    </row>
    <row r="22" customFormat="false" ht="15" hidden="false" customHeight="false" outlineLevel="0" collapsed="false">
      <c r="A22" s="12"/>
      <c r="B22" s="12"/>
      <c r="C22" s="12"/>
      <c r="D22" s="12"/>
      <c r="E22" s="12"/>
      <c r="F22" s="12"/>
      <c r="G22" s="12"/>
      <c r="H22" s="12"/>
      <c r="I22" s="12"/>
      <c r="J22" s="12"/>
      <c r="K22" s="12"/>
      <c r="L22" s="12"/>
      <c r="M22" s="12"/>
      <c r="N22" s="12"/>
      <c r="O22" s="12"/>
      <c r="P22" s="12"/>
      <c r="Q22" s="12"/>
    </row>
    <row r="23" customFormat="false" ht="15" hidden="false" customHeight="false" outlineLevel="0" collapsed="false">
      <c r="A23" s="12"/>
      <c r="B23" s="12"/>
      <c r="C23" s="12"/>
      <c r="D23" s="12"/>
      <c r="E23" s="12"/>
      <c r="F23" s="12"/>
      <c r="G23" s="12"/>
      <c r="H23" s="12"/>
      <c r="I23" s="12"/>
      <c r="J23" s="12"/>
      <c r="K23" s="12"/>
      <c r="L23" s="12"/>
      <c r="M23" s="12"/>
      <c r="N23" s="12"/>
      <c r="O23" s="12"/>
      <c r="P23" s="12"/>
      <c r="Q23" s="12"/>
    </row>
    <row r="24" customFormat="false" ht="15" hidden="false" customHeight="false" outlineLevel="0" collapsed="false">
      <c r="A24" s="12"/>
      <c r="B24" s="12"/>
      <c r="C24" s="12"/>
      <c r="D24" s="12"/>
      <c r="E24" s="12"/>
      <c r="F24" s="12"/>
      <c r="G24" s="12"/>
      <c r="H24" s="12"/>
      <c r="I24" s="12"/>
      <c r="J24" s="12"/>
      <c r="K24" s="12"/>
      <c r="L24" s="12"/>
      <c r="M24" s="12"/>
      <c r="N24" s="12"/>
      <c r="O24" s="12"/>
      <c r="P24" s="12"/>
      <c r="Q24" s="12"/>
    </row>
    <row r="25" customFormat="false" ht="15" hidden="false" customHeight="false" outlineLevel="0" collapsed="false">
      <c r="A25" s="12"/>
      <c r="B25" s="12"/>
      <c r="C25" s="12"/>
      <c r="D25" s="12"/>
      <c r="E25" s="12"/>
      <c r="F25" s="12"/>
      <c r="G25" s="12"/>
      <c r="H25" s="12"/>
      <c r="I25" s="12"/>
      <c r="J25" s="12"/>
      <c r="K25" s="12"/>
      <c r="L25" s="12"/>
      <c r="M25" s="12"/>
      <c r="N25" s="12"/>
      <c r="O25" s="12"/>
      <c r="P25" s="12"/>
      <c r="Q25" s="12"/>
    </row>
    <row r="26" customFormat="false" ht="15" hidden="false" customHeight="false" outlineLevel="0" collapsed="false">
      <c r="A26" s="12"/>
      <c r="B26" s="12"/>
      <c r="C26" s="12"/>
      <c r="D26" s="12"/>
      <c r="E26" s="12"/>
      <c r="F26" s="12"/>
      <c r="G26" s="12"/>
      <c r="H26" s="12"/>
      <c r="I26" s="12"/>
      <c r="J26" s="12"/>
      <c r="K26" s="12"/>
      <c r="L26" s="12"/>
      <c r="M26" s="12"/>
      <c r="N26" s="12"/>
      <c r="O26" s="12"/>
      <c r="P26" s="12"/>
      <c r="Q26" s="12"/>
    </row>
    <row r="27" customFormat="false" ht="15" hidden="false" customHeight="false" outlineLevel="0" collapsed="false">
      <c r="A27" s="12"/>
      <c r="B27" s="12"/>
      <c r="C27" s="12"/>
      <c r="D27" s="12"/>
      <c r="E27" s="12"/>
      <c r="F27" s="12"/>
      <c r="G27" s="12"/>
      <c r="H27" s="12"/>
      <c r="I27" s="12"/>
      <c r="J27" s="12"/>
      <c r="K27" s="12"/>
      <c r="L27" s="12"/>
      <c r="M27" s="12"/>
      <c r="N27" s="12"/>
      <c r="O27" s="12"/>
      <c r="P27" s="12"/>
      <c r="Q27" s="12"/>
    </row>
    <row r="28" customFormat="false" ht="15" hidden="false" customHeight="false" outlineLevel="0" collapsed="false">
      <c r="A28" s="12"/>
      <c r="B28" s="12"/>
      <c r="C28" s="12"/>
      <c r="D28" s="12"/>
      <c r="E28" s="12"/>
      <c r="F28" s="12"/>
      <c r="G28" s="12"/>
      <c r="H28" s="12"/>
      <c r="I28" s="12"/>
      <c r="J28" s="12"/>
      <c r="K28" s="12"/>
      <c r="L28" s="12"/>
      <c r="M28" s="12"/>
      <c r="N28" s="12"/>
      <c r="O28" s="12"/>
      <c r="P28" s="12"/>
      <c r="Q28" s="12"/>
    </row>
    <row r="29" customFormat="false" ht="15" hidden="false" customHeight="false" outlineLevel="0" collapsed="false">
      <c r="A29" s="12"/>
      <c r="B29" s="12"/>
      <c r="C29" s="12"/>
      <c r="D29" s="12"/>
      <c r="E29" s="12"/>
      <c r="F29" s="12"/>
      <c r="G29" s="12"/>
      <c r="H29" s="12"/>
      <c r="I29" s="12"/>
      <c r="J29" s="12"/>
      <c r="K29" s="12"/>
      <c r="L29" s="12"/>
      <c r="M29" s="12"/>
      <c r="N29" s="12"/>
      <c r="O29" s="12"/>
      <c r="P29" s="12"/>
      <c r="Q29" s="12"/>
    </row>
    <row r="30" customFormat="false" ht="15" hidden="false" customHeight="false" outlineLevel="0" collapsed="false">
      <c r="A30" s="12"/>
      <c r="B30" s="12"/>
      <c r="C30" s="12"/>
      <c r="D30" s="12"/>
      <c r="E30" s="12"/>
      <c r="F30" s="12"/>
      <c r="G30" s="12"/>
      <c r="H30" s="12"/>
      <c r="I30" s="12"/>
      <c r="J30" s="12"/>
      <c r="K30" s="12"/>
      <c r="L30" s="12"/>
      <c r="M30" s="12"/>
      <c r="N30" s="12"/>
      <c r="O30" s="12"/>
      <c r="P30" s="12"/>
      <c r="Q30" s="12"/>
    </row>
    <row r="31" customFormat="false" ht="15" hidden="false" customHeight="false" outlineLevel="0" collapsed="false">
      <c r="A31" s="12"/>
      <c r="B31" s="12"/>
      <c r="C31" s="12"/>
      <c r="D31" s="12"/>
      <c r="E31" s="12"/>
      <c r="F31" s="12"/>
      <c r="G31" s="12"/>
      <c r="H31" s="12"/>
      <c r="I31" s="12"/>
      <c r="J31" s="12"/>
      <c r="K31" s="12"/>
      <c r="L31" s="12"/>
      <c r="M31" s="12"/>
      <c r="N31" s="12"/>
      <c r="O31" s="12"/>
      <c r="P31" s="12"/>
      <c r="Q31" s="12"/>
    </row>
    <row r="32" customFormat="false" ht="15" hidden="false" customHeight="false" outlineLevel="0" collapsed="false">
      <c r="A32" s="12"/>
      <c r="B32" s="12"/>
      <c r="C32" s="12"/>
      <c r="D32" s="12"/>
      <c r="E32" s="12"/>
      <c r="F32" s="12"/>
      <c r="G32" s="12"/>
      <c r="H32" s="12"/>
      <c r="I32" s="12"/>
      <c r="J32" s="12"/>
      <c r="K32" s="12"/>
      <c r="L32" s="12"/>
      <c r="M32" s="12"/>
      <c r="N32" s="12"/>
      <c r="O32" s="12"/>
      <c r="P32" s="12"/>
      <c r="Q32" s="12"/>
    </row>
    <row r="33" customFormat="false" ht="15" hidden="false" customHeight="false" outlineLevel="0" collapsed="false">
      <c r="A33" s="12"/>
      <c r="B33" s="12"/>
      <c r="C33" s="12"/>
      <c r="D33" s="12"/>
      <c r="E33" s="12"/>
      <c r="F33" s="12"/>
      <c r="G33" s="12"/>
      <c r="H33" s="12"/>
      <c r="I33" s="12"/>
      <c r="J33" s="12"/>
      <c r="K33" s="12"/>
      <c r="L33" s="12"/>
      <c r="M33" s="12"/>
      <c r="N33" s="12"/>
      <c r="O33" s="12"/>
      <c r="P33" s="12"/>
      <c r="Q33" s="12"/>
    </row>
  </sheetData>
  <autoFilter ref="A1:Q33"/>
  <dataValidations count="1">
    <dataValidation allowBlank="true" error="Pick a value from the list" errorStyle="stop" errorTitle="Invalid value" operator="between" showDropDown="false" showErrorMessage="false" showInputMessage="false" sqref="P3:P33" type="list">
      <formula1>"en,nl,fr,de,es,pt,da,sv,no,is"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16"/>
    <col collapsed="false" customWidth="true" hidden="false" outlineLevel="0" max="2" min="2" style="0" width="8"/>
    <col collapsed="false" customWidth="true" hidden="false" outlineLevel="0" max="3" min="3" style="0" width="80"/>
    <col collapsed="false" customWidth="true" hidden="false" outlineLevel="0" max="4" min="4" style="0" width="34"/>
    <col collapsed="false" customWidth="true" hidden="false" outlineLevel="0" max="6" min="5" style="0" width="22"/>
    <col collapsed="false" customWidth="true" hidden="false" outlineLevel="0" max="7" min="7" style="0" width="34"/>
    <col collapsed="false" customWidth="true" hidden="false" outlineLevel="0" max="8" min="8" style="0" width="12"/>
  </cols>
  <sheetData>
    <row r="1" customFormat="false" ht="31.5" hidden="false" customHeight="true" outlineLevel="0" collapsed="false">
      <c r="A1" s="4" t="s">
        <v>390</v>
      </c>
      <c r="B1" s="4" t="s">
        <v>290</v>
      </c>
      <c r="C1" s="4" t="s">
        <v>775</v>
      </c>
      <c r="D1" s="4" t="s">
        <v>776</v>
      </c>
      <c r="E1" s="4" t="s">
        <v>777</v>
      </c>
      <c r="F1" s="4" t="s">
        <v>778</v>
      </c>
      <c r="G1" s="4" t="s">
        <v>779</v>
      </c>
      <c r="H1" s="4" t="s">
        <v>27</v>
      </c>
    </row>
    <row r="2" customFormat="false" ht="63.75" hidden="false" customHeight="true" outlineLevel="0" collapsed="false">
      <c r="A2" s="7" t="s">
        <v>427</v>
      </c>
      <c r="B2" s="7" t="s">
        <v>621</v>
      </c>
      <c r="C2" s="7" t="s">
        <v>780</v>
      </c>
      <c r="D2" s="7" t="s">
        <v>781</v>
      </c>
      <c r="E2" s="7" t="s">
        <v>782</v>
      </c>
      <c r="F2" s="7" t="s">
        <v>782</v>
      </c>
      <c r="G2" s="7" t="s">
        <v>783</v>
      </c>
      <c r="H2" s="7" t="s">
        <v>182</v>
      </c>
    </row>
    <row r="3" customFormat="false" ht="48" hidden="false" customHeight="true" outlineLevel="0" collapsed="false">
      <c r="A3" s="10" t="s">
        <v>456</v>
      </c>
      <c r="B3" s="10" t="s">
        <v>192</v>
      </c>
      <c r="C3" s="10" t="s">
        <v>784</v>
      </c>
      <c r="D3" s="10" t="s">
        <v>785</v>
      </c>
      <c r="E3" s="10" t="s">
        <v>786</v>
      </c>
      <c r="F3" s="10" t="s">
        <v>787</v>
      </c>
      <c r="G3" s="10" t="s">
        <v>469</v>
      </c>
      <c r="H3" s="10" t="s">
        <v>46</v>
      </c>
    </row>
    <row r="4" customFormat="false" ht="15" hidden="false" customHeight="false" outlineLevel="0" collapsed="false">
      <c r="A4" s="12"/>
      <c r="B4" s="12"/>
      <c r="C4" s="12"/>
      <c r="D4" s="12"/>
      <c r="E4" s="12"/>
      <c r="F4" s="12"/>
      <c r="G4" s="12"/>
      <c r="H4" s="12"/>
    </row>
    <row r="5" customFormat="false" ht="15" hidden="false" customHeight="false" outlineLevel="0" collapsed="false">
      <c r="A5" s="12"/>
      <c r="B5" s="12"/>
      <c r="C5" s="12"/>
      <c r="D5" s="12"/>
      <c r="E5" s="12"/>
      <c r="F5" s="12"/>
      <c r="G5" s="12"/>
      <c r="H5" s="12"/>
    </row>
    <row r="6" customFormat="false" ht="15" hidden="false" customHeight="false" outlineLevel="0" collapsed="false">
      <c r="A6" s="12"/>
      <c r="B6" s="12"/>
      <c r="C6" s="12"/>
      <c r="D6" s="12"/>
      <c r="E6" s="12"/>
      <c r="F6" s="12"/>
      <c r="G6" s="12"/>
      <c r="H6" s="12"/>
    </row>
    <row r="7" customFormat="false" ht="15" hidden="false" customHeight="false" outlineLevel="0" collapsed="false">
      <c r="A7" s="12"/>
      <c r="B7" s="12"/>
      <c r="C7" s="12"/>
      <c r="D7" s="12"/>
      <c r="E7" s="12"/>
      <c r="F7" s="12"/>
      <c r="G7" s="12"/>
      <c r="H7" s="12"/>
    </row>
    <row r="8" customFormat="false" ht="15" hidden="false" customHeight="false" outlineLevel="0" collapsed="false">
      <c r="A8" s="12"/>
      <c r="B8" s="12"/>
      <c r="C8" s="12"/>
      <c r="D8" s="12"/>
      <c r="E8" s="12"/>
      <c r="F8" s="12"/>
      <c r="G8" s="12"/>
      <c r="H8" s="12"/>
    </row>
    <row r="9" customFormat="false" ht="15" hidden="false" customHeight="false" outlineLevel="0" collapsed="false">
      <c r="A9" s="12"/>
      <c r="B9" s="12"/>
      <c r="C9" s="12"/>
      <c r="D9" s="12"/>
      <c r="E9" s="12"/>
      <c r="F9" s="12"/>
      <c r="G9" s="12"/>
      <c r="H9" s="12"/>
    </row>
    <row r="10" customFormat="false" ht="15" hidden="false" customHeight="false" outlineLevel="0" collapsed="false">
      <c r="A10" s="12"/>
      <c r="B10" s="12"/>
      <c r="C10" s="12"/>
      <c r="D10" s="12"/>
      <c r="E10" s="12"/>
      <c r="F10" s="12"/>
      <c r="G10" s="12"/>
      <c r="H10" s="12"/>
    </row>
    <row r="11" customFormat="false" ht="15" hidden="false" customHeight="false" outlineLevel="0" collapsed="false">
      <c r="A11" s="12"/>
      <c r="B11" s="12"/>
      <c r="C11" s="12"/>
      <c r="D11" s="12"/>
      <c r="E11" s="12"/>
      <c r="F11" s="12"/>
      <c r="G11" s="12"/>
      <c r="H11" s="12"/>
    </row>
    <row r="12" customFormat="false" ht="15" hidden="false" customHeight="false" outlineLevel="0" collapsed="false">
      <c r="A12" s="12"/>
      <c r="B12" s="12"/>
      <c r="C12" s="12"/>
      <c r="D12" s="12"/>
      <c r="E12" s="12"/>
      <c r="F12" s="12"/>
      <c r="G12" s="12"/>
      <c r="H12" s="12"/>
    </row>
    <row r="13" customFormat="false" ht="15" hidden="false" customHeight="false" outlineLevel="0" collapsed="false">
      <c r="A13" s="12"/>
      <c r="B13" s="12"/>
      <c r="C13" s="12"/>
      <c r="D13" s="12"/>
      <c r="E13" s="12"/>
      <c r="F13" s="12"/>
      <c r="G13" s="12"/>
      <c r="H13" s="12"/>
    </row>
    <row r="14" customFormat="false" ht="15" hidden="false" customHeight="false" outlineLevel="0" collapsed="false">
      <c r="A14" s="12"/>
      <c r="B14" s="12"/>
      <c r="C14" s="12"/>
      <c r="D14" s="12"/>
      <c r="E14" s="12"/>
      <c r="F14" s="12"/>
      <c r="G14" s="12"/>
      <c r="H14" s="12"/>
    </row>
    <row r="15" customFormat="false" ht="15" hidden="false" customHeight="false" outlineLevel="0" collapsed="false">
      <c r="A15" s="12"/>
      <c r="B15" s="12"/>
      <c r="C15" s="12"/>
      <c r="D15" s="12"/>
      <c r="E15" s="12"/>
      <c r="F15" s="12"/>
      <c r="G15" s="12"/>
      <c r="H15" s="12"/>
    </row>
    <row r="16" customFormat="false" ht="15" hidden="false" customHeight="false" outlineLevel="0" collapsed="false">
      <c r="A16" s="12"/>
      <c r="B16" s="12"/>
      <c r="C16" s="12"/>
      <c r="D16" s="12"/>
      <c r="E16" s="12"/>
      <c r="F16" s="12"/>
      <c r="G16" s="12"/>
      <c r="H16" s="12"/>
    </row>
    <row r="17" customFormat="false" ht="15" hidden="false" customHeight="false" outlineLevel="0" collapsed="false">
      <c r="A17" s="12"/>
      <c r="B17" s="12"/>
      <c r="C17" s="12"/>
      <c r="D17" s="12"/>
      <c r="E17" s="12"/>
      <c r="F17" s="12"/>
      <c r="G17" s="12"/>
      <c r="H17" s="12"/>
    </row>
    <row r="18" customFormat="false" ht="15" hidden="false" customHeight="false" outlineLevel="0" collapsed="false">
      <c r="A18" s="12"/>
      <c r="B18" s="12"/>
      <c r="C18" s="12"/>
      <c r="D18" s="12"/>
      <c r="E18" s="12"/>
      <c r="F18" s="12"/>
      <c r="G18" s="12"/>
      <c r="H18" s="12"/>
    </row>
    <row r="19" customFormat="false" ht="15" hidden="false" customHeight="false" outlineLevel="0" collapsed="false">
      <c r="A19" s="12"/>
      <c r="B19" s="12"/>
      <c r="C19" s="12"/>
      <c r="D19" s="12"/>
      <c r="E19" s="12"/>
      <c r="F19" s="12"/>
      <c r="G19" s="12"/>
      <c r="H19" s="12"/>
    </row>
    <row r="20" customFormat="false" ht="15" hidden="false" customHeight="false" outlineLevel="0" collapsed="false">
      <c r="A20" s="12"/>
      <c r="B20" s="12"/>
      <c r="C20" s="12"/>
      <c r="D20" s="12"/>
      <c r="E20" s="12"/>
      <c r="F20" s="12"/>
      <c r="G20" s="12"/>
      <c r="H20" s="12"/>
    </row>
    <row r="21" customFormat="false" ht="15" hidden="false" customHeight="false" outlineLevel="0" collapsed="false">
      <c r="A21" s="12"/>
      <c r="B21" s="12"/>
      <c r="C21" s="12"/>
      <c r="D21" s="12"/>
      <c r="E21" s="12"/>
      <c r="F21" s="12"/>
      <c r="G21" s="12"/>
      <c r="H21" s="12"/>
    </row>
    <row r="22" customFormat="false" ht="15" hidden="false" customHeight="false" outlineLevel="0" collapsed="false">
      <c r="A22" s="12"/>
      <c r="B22" s="12"/>
      <c r="C22" s="12"/>
      <c r="D22" s="12"/>
      <c r="E22" s="12"/>
      <c r="F22" s="12"/>
      <c r="G22" s="12"/>
      <c r="H22" s="12"/>
    </row>
    <row r="23" customFormat="false" ht="15" hidden="false" customHeight="false" outlineLevel="0" collapsed="false">
      <c r="A23" s="12"/>
      <c r="B23" s="12"/>
      <c r="C23" s="12"/>
      <c r="D23" s="12"/>
      <c r="E23" s="12"/>
      <c r="F23" s="12"/>
      <c r="G23" s="12"/>
      <c r="H23" s="12"/>
    </row>
    <row r="24" customFormat="false" ht="15" hidden="false" customHeight="false" outlineLevel="0" collapsed="false">
      <c r="A24" s="12"/>
      <c r="B24" s="12"/>
      <c r="C24" s="12"/>
      <c r="D24" s="12"/>
      <c r="E24" s="12"/>
      <c r="F24" s="12"/>
      <c r="G24" s="12"/>
      <c r="H24" s="12"/>
    </row>
    <row r="25" customFormat="false" ht="15" hidden="false" customHeight="false" outlineLevel="0" collapsed="false">
      <c r="A25" s="12"/>
      <c r="B25" s="12"/>
      <c r="C25" s="12"/>
      <c r="D25" s="12"/>
      <c r="E25" s="12"/>
      <c r="F25" s="12"/>
      <c r="G25" s="12"/>
      <c r="H25" s="12"/>
    </row>
    <row r="26" customFormat="false" ht="15" hidden="false" customHeight="false" outlineLevel="0" collapsed="false">
      <c r="A26" s="12"/>
      <c r="B26" s="12"/>
      <c r="C26" s="12"/>
      <c r="D26" s="12"/>
      <c r="E26" s="12"/>
      <c r="F26" s="12"/>
      <c r="G26" s="12"/>
      <c r="H26" s="12"/>
    </row>
    <row r="27" customFormat="false" ht="15" hidden="false" customHeight="false" outlineLevel="0" collapsed="false">
      <c r="A27" s="12"/>
      <c r="B27" s="12"/>
      <c r="C27" s="12"/>
      <c r="D27" s="12"/>
      <c r="E27" s="12"/>
      <c r="F27" s="12"/>
      <c r="G27" s="12"/>
      <c r="H27" s="12"/>
    </row>
    <row r="28" customFormat="false" ht="15" hidden="false" customHeight="false" outlineLevel="0" collapsed="false">
      <c r="A28" s="12"/>
      <c r="B28" s="12"/>
      <c r="C28" s="12"/>
      <c r="D28" s="12"/>
      <c r="E28" s="12"/>
      <c r="F28" s="12"/>
      <c r="G28" s="12"/>
      <c r="H28" s="12"/>
    </row>
    <row r="29" customFormat="false" ht="15" hidden="false" customHeight="false" outlineLevel="0" collapsed="false">
      <c r="A29" s="12"/>
      <c r="B29" s="12"/>
      <c r="C29" s="12"/>
      <c r="D29" s="12"/>
      <c r="E29" s="12"/>
      <c r="F29" s="12"/>
      <c r="G29" s="12"/>
      <c r="H29" s="12"/>
    </row>
    <row r="30" customFormat="false" ht="15" hidden="false" customHeight="false" outlineLevel="0" collapsed="false">
      <c r="A30" s="12"/>
      <c r="B30" s="12"/>
      <c r="C30" s="12"/>
      <c r="D30" s="12"/>
      <c r="E30" s="12"/>
      <c r="F30" s="12"/>
      <c r="G30" s="12"/>
      <c r="H30" s="12"/>
    </row>
    <row r="31" customFormat="false" ht="15" hidden="false" customHeight="false" outlineLevel="0" collapsed="false">
      <c r="A31" s="12"/>
      <c r="B31" s="12"/>
      <c r="C31" s="12"/>
      <c r="D31" s="12"/>
      <c r="E31" s="12"/>
      <c r="F31" s="12"/>
      <c r="G31" s="12"/>
      <c r="H31" s="12"/>
    </row>
    <row r="32" customFormat="false" ht="15" hidden="false" customHeight="false" outlineLevel="0" collapsed="false">
      <c r="A32" s="12"/>
      <c r="B32" s="12"/>
      <c r="C32" s="12"/>
      <c r="D32" s="12"/>
      <c r="E32" s="12"/>
      <c r="F32" s="12"/>
      <c r="G32" s="12"/>
      <c r="H32" s="12"/>
    </row>
    <row r="33" customFormat="false" ht="15" hidden="false" customHeight="false" outlineLevel="0" collapsed="false">
      <c r="A33" s="12"/>
      <c r="B33" s="12"/>
      <c r="C33" s="12"/>
      <c r="D33" s="12"/>
      <c r="E33" s="12"/>
      <c r="F33" s="12"/>
      <c r="G33" s="12"/>
      <c r="H33" s="12"/>
    </row>
  </sheetData>
  <autoFilter ref="A1:H33"/>
  <dataValidations count="2">
    <dataValidation allowBlank="true" error="Pick a value from the list" errorStyle="stop" errorTitle="Invalid value" operator="between" showDropDown="false" showErrorMessage="false" showInputMessage="false" sqref="B3:B33" type="list">
      <formula1>"en,nl,fr,de,es,pt,da,sv,no,is"</formula1>
      <formula2>0</formula2>
    </dataValidation>
    <dataValidation allowBlank="true" error="Pick a value from the list" errorStyle="stop" errorTitle="Invalid value" operator="between" showDropDown="false" showErrorMessage="false" showInputMessage="false" sqref="H3:H33" type="list">
      <formula1>"Backlog,Briefed,Drafting,Review,Translation,Ready for dev,Live,On hold"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28"/>
    <col collapsed="false" customWidth="true" hidden="false" outlineLevel="0" max="2" min="2" style="0" width="24"/>
    <col collapsed="false" customWidth="true" hidden="false" outlineLevel="0" max="3" min="3" style="0" width="12"/>
    <col collapsed="false" customWidth="true" hidden="false" outlineLevel="0" max="4" min="4" style="0" width="14"/>
    <col collapsed="false" customWidth="true" hidden="false" outlineLevel="0" max="5" min="5" style="0" width="12"/>
    <col collapsed="false" customWidth="true" hidden="false" outlineLevel="0" max="6" min="6" style="0" width="8"/>
    <col collapsed="false" customWidth="true" hidden="false" outlineLevel="0" max="7" min="7" style="0" width="6"/>
    <col collapsed="false" customWidth="true" hidden="false" outlineLevel="0" max="8" min="8" style="0" width="24"/>
    <col collapsed="false" customWidth="true" hidden="false" outlineLevel="0" max="9" min="9" style="0" width="16"/>
    <col collapsed="false" customWidth="true" hidden="false" outlineLevel="0" max="10" min="10" style="0" width="14"/>
    <col collapsed="false" customWidth="true" hidden="false" outlineLevel="0" max="11" min="11" style="0" width="20"/>
    <col collapsed="false" customWidth="true" hidden="false" outlineLevel="0" max="12" min="12" style="0" width="44"/>
    <col collapsed="false" customWidth="true" hidden="false" outlineLevel="0" max="13" min="13" style="0" width="50"/>
    <col collapsed="false" customWidth="true" hidden="false" outlineLevel="0" max="14" min="14" style="0" width="36"/>
    <col collapsed="false" customWidth="true" hidden="false" outlineLevel="0" max="15" min="15" style="0" width="34"/>
    <col collapsed="false" customWidth="true" hidden="false" outlineLevel="0" max="16" min="16" style="0" width="18"/>
    <col collapsed="false" customWidth="true" hidden="false" outlineLevel="0" max="17" min="17" style="0" width="30"/>
    <col collapsed="false" customWidth="true" hidden="false" outlineLevel="0" max="21" min="18" style="0" width="16"/>
    <col collapsed="false" customWidth="true" hidden="false" outlineLevel="0" max="22" min="22" style="0" width="40"/>
    <col collapsed="false" customWidth="true" hidden="false" outlineLevel="0" max="24" min="23" style="0" width="20"/>
    <col collapsed="false" customWidth="true" hidden="false" outlineLevel="0" max="25" min="25" style="0" width="12"/>
    <col collapsed="false" customWidth="true" hidden="false" outlineLevel="0" max="27" min="26" style="0" width="44"/>
    <col collapsed="false" customWidth="true" hidden="false" outlineLevel="0" max="28" min="28" style="0" width="8"/>
    <col collapsed="false" customWidth="true" hidden="false" outlineLevel="0" max="29" min="29" style="0" width="10"/>
    <col collapsed="false" customWidth="true" hidden="false" outlineLevel="0" max="30" min="30" style="0" width="12"/>
  </cols>
  <sheetData>
    <row r="1" customFormat="false" ht="31.5" hidden="false" customHeight="true" outlineLevel="0" collapsed="false">
      <c r="A1" s="4" t="s">
        <v>291</v>
      </c>
      <c r="B1" s="4" t="s">
        <v>788</v>
      </c>
      <c r="C1" s="4" t="s">
        <v>789</v>
      </c>
      <c r="D1" s="4" t="s">
        <v>790</v>
      </c>
      <c r="E1" s="4" t="s">
        <v>791</v>
      </c>
      <c r="F1" s="4" t="s">
        <v>792</v>
      </c>
      <c r="G1" s="4" t="s">
        <v>793</v>
      </c>
      <c r="H1" s="4" t="s">
        <v>794</v>
      </c>
      <c r="I1" s="4" t="s">
        <v>795</v>
      </c>
      <c r="J1" s="4" t="s">
        <v>796</v>
      </c>
      <c r="K1" s="4" t="s">
        <v>797</v>
      </c>
      <c r="L1" s="4" t="s">
        <v>798</v>
      </c>
      <c r="M1" s="4" t="s">
        <v>799</v>
      </c>
      <c r="N1" s="4" t="s">
        <v>800</v>
      </c>
      <c r="O1" s="4" t="s">
        <v>801</v>
      </c>
      <c r="P1" s="4" t="s">
        <v>802</v>
      </c>
      <c r="Q1" s="4" t="s">
        <v>803</v>
      </c>
      <c r="R1" s="4" t="s">
        <v>804</v>
      </c>
      <c r="S1" s="4" t="s">
        <v>805</v>
      </c>
      <c r="T1" s="4" t="s">
        <v>806</v>
      </c>
      <c r="U1" s="4" t="s">
        <v>807</v>
      </c>
      <c r="V1" s="4" t="s">
        <v>808</v>
      </c>
      <c r="W1" s="4" t="s">
        <v>761</v>
      </c>
      <c r="X1" s="4" t="s">
        <v>809</v>
      </c>
      <c r="Y1" s="4" t="s">
        <v>810</v>
      </c>
      <c r="Z1" s="4" t="s">
        <v>292</v>
      </c>
      <c r="AA1" s="4" t="s">
        <v>293</v>
      </c>
      <c r="AB1" s="4" t="s">
        <v>811</v>
      </c>
      <c r="AC1" s="4" t="s">
        <v>812</v>
      </c>
      <c r="AD1" s="4" t="s">
        <v>27</v>
      </c>
    </row>
    <row r="2" customFormat="false" ht="63.75" hidden="false" customHeight="true" outlineLevel="0" collapsed="false">
      <c r="A2" s="7" t="s">
        <v>813</v>
      </c>
      <c r="B2" s="7" t="s">
        <v>814</v>
      </c>
      <c r="C2" s="7" t="s">
        <v>815</v>
      </c>
      <c r="D2" s="7" t="s">
        <v>182</v>
      </c>
      <c r="E2" s="7"/>
      <c r="F2" s="7" t="s">
        <v>816</v>
      </c>
      <c r="G2" s="7" t="s">
        <v>817</v>
      </c>
      <c r="H2" s="7"/>
      <c r="I2" s="7"/>
      <c r="J2" s="7"/>
      <c r="K2" s="7" t="s">
        <v>818</v>
      </c>
      <c r="L2" s="7" t="s">
        <v>819</v>
      </c>
      <c r="M2" s="7" t="s">
        <v>820</v>
      </c>
      <c r="N2" s="7" t="s">
        <v>821</v>
      </c>
      <c r="O2" s="7" t="s">
        <v>822</v>
      </c>
      <c r="P2" s="7"/>
      <c r="Q2" s="7" t="s">
        <v>823</v>
      </c>
      <c r="R2" s="7"/>
      <c r="S2" s="7"/>
      <c r="T2" s="7"/>
      <c r="U2" s="7"/>
      <c r="V2" s="7" t="s">
        <v>824</v>
      </c>
      <c r="W2" s="7"/>
      <c r="X2" s="7"/>
      <c r="Y2" s="7" t="s">
        <v>825</v>
      </c>
      <c r="Z2" s="7" t="s">
        <v>826</v>
      </c>
      <c r="AA2" s="7"/>
      <c r="AB2" s="7" t="s">
        <v>451</v>
      </c>
      <c r="AC2" s="7" t="s">
        <v>336</v>
      </c>
      <c r="AD2" s="7" t="s">
        <v>182</v>
      </c>
    </row>
    <row r="3" customFormat="false" ht="48" hidden="false" customHeight="true" outlineLevel="0" collapsed="false">
      <c r="A3" s="10" t="s">
        <v>827</v>
      </c>
      <c r="B3" s="10" t="s">
        <v>828</v>
      </c>
      <c r="C3" s="10" t="s">
        <v>467</v>
      </c>
      <c r="D3" s="10" t="s">
        <v>829</v>
      </c>
      <c r="E3" s="10" t="s">
        <v>830</v>
      </c>
      <c r="F3" s="10" t="s">
        <v>484</v>
      </c>
      <c r="G3" s="10" t="n">
        <v>2026</v>
      </c>
      <c r="H3" s="10" t="s">
        <v>831</v>
      </c>
      <c r="I3" s="10" t="s">
        <v>832</v>
      </c>
      <c r="J3" s="10" t="s">
        <v>833</v>
      </c>
      <c r="K3" s="10" t="s">
        <v>834</v>
      </c>
      <c r="L3" s="10" t="s">
        <v>835</v>
      </c>
      <c r="M3" s="10" t="s">
        <v>836</v>
      </c>
      <c r="N3" s="10" t="s">
        <v>837</v>
      </c>
      <c r="O3" s="10" t="s">
        <v>838</v>
      </c>
      <c r="P3" s="10" t="s">
        <v>839</v>
      </c>
      <c r="Q3" s="10" t="s">
        <v>840</v>
      </c>
      <c r="R3" s="10" t="s">
        <v>841</v>
      </c>
      <c r="S3" s="10" t="s">
        <v>842</v>
      </c>
      <c r="T3" s="10" t="s">
        <v>843</v>
      </c>
      <c r="U3" s="10" t="s">
        <v>844</v>
      </c>
      <c r="V3" s="10" t="s">
        <v>845</v>
      </c>
      <c r="W3" s="10"/>
      <c r="X3" s="10"/>
      <c r="Y3" s="10" t="s">
        <v>112</v>
      </c>
      <c r="Z3" s="10" t="s">
        <v>846</v>
      </c>
      <c r="AA3" s="10" t="s">
        <v>847</v>
      </c>
      <c r="AB3" s="10" t="s">
        <v>548</v>
      </c>
      <c r="AC3" s="11" t="n">
        <f aca="false">IF(AND(L3="",M3="",N3=""),"",LEN(TRIM(L3&amp;" "&amp;M3&amp;" "&amp;N3))-LEN(SUBSTITUTE(TRIM(L3&amp;" "&amp;M3&amp;" "&amp;N3)," ",""))+1)</f>
        <v>36</v>
      </c>
      <c r="AD3" s="10" t="s">
        <v>56</v>
      </c>
    </row>
    <row r="4" customFormat="false" ht="15" hidden="false" customHeight="false" outlineLevel="0" collapsed="false">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1" t="str">
        <f aca="false">IF(AND(L4="",M4="",N4=""),"",LEN(TRIM(L4&amp;" "&amp;M4&amp;" "&amp;N4))-LEN(SUBSTITUTE(TRIM(L4&amp;" "&amp;M4&amp;" "&amp;N4)," ",""))+1)</f>
        <v/>
      </c>
      <c r="AD4" s="12"/>
    </row>
    <row r="5" customFormat="false" ht="15" hidden="false" customHeight="false" outlineLevel="0" collapsed="false">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1" t="str">
        <f aca="false">IF(AND(L5="",M5="",N5=""),"",LEN(TRIM(L5&amp;" "&amp;M5&amp;" "&amp;N5))-LEN(SUBSTITUTE(TRIM(L5&amp;" "&amp;M5&amp;" "&amp;N5)," ",""))+1)</f>
        <v/>
      </c>
      <c r="AD5" s="12"/>
    </row>
    <row r="6" customFormat="false" ht="15" hidden="false" customHeight="false" outlineLevel="0" collapsed="false">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1" t="str">
        <f aca="false">IF(AND(L6="",M6="",N6=""),"",LEN(TRIM(L6&amp;" "&amp;M6&amp;" "&amp;N6))-LEN(SUBSTITUTE(TRIM(L6&amp;" "&amp;M6&amp;" "&amp;N6)," ",""))+1)</f>
        <v/>
      </c>
      <c r="AD6" s="12"/>
    </row>
    <row r="7" customFormat="false" ht="15" hidden="false" customHeight="false" outlineLevel="0" collapsed="false">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1" t="str">
        <f aca="false">IF(AND(L7="",M7="",N7=""),"",LEN(TRIM(L7&amp;" "&amp;M7&amp;" "&amp;N7))-LEN(SUBSTITUTE(TRIM(L7&amp;" "&amp;M7&amp;" "&amp;N7)," ",""))+1)</f>
        <v/>
      </c>
      <c r="AD7" s="12"/>
    </row>
    <row r="8" customFormat="false" ht="15" hidden="false" customHeight="false" outlineLevel="0" collapsed="false">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1" t="str">
        <f aca="false">IF(AND(L8="",M8="",N8=""),"",LEN(TRIM(L8&amp;" "&amp;M8&amp;" "&amp;N8))-LEN(SUBSTITUTE(TRIM(L8&amp;" "&amp;M8&amp;" "&amp;N8)," ",""))+1)</f>
        <v/>
      </c>
      <c r="AD8" s="12"/>
    </row>
    <row r="9" customFormat="false" ht="15" hidden="false" customHeight="false" outlineLevel="0" collapsed="false">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1" t="str">
        <f aca="false">IF(AND(L9="",M9="",N9=""),"",LEN(TRIM(L9&amp;" "&amp;M9&amp;" "&amp;N9))-LEN(SUBSTITUTE(TRIM(L9&amp;" "&amp;M9&amp;" "&amp;N9)," ",""))+1)</f>
        <v/>
      </c>
      <c r="AD9" s="12"/>
    </row>
    <row r="10" customFormat="false" ht="15" hidden="false" customHeight="false" outlineLevel="0" collapsed="false">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1" t="str">
        <f aca="false">IF(AND(L10="",M10="",N10=""),"",LEN(TRIM(L10&amp;" "&amp;M10&amp;" "&amp;N10))-LEN(SUBSTITUTE(TRIM(L10&amp;" "&amp;M10&amp;" "&amp;N10)," ",""))+1)</f>
        <v/>
      </c>
      <c r="AD10" s="12"/>
    </row>
    <row r="11" customFormat="false" ht="15" hidden="false" customHeight="false" outlineLevel="0" collapsed="false">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1" t="str">
        <f aca="false">IF(AND(L11="",M11="",N11=""),"",LEN(TRIM(L11&amp;" "&amp;M11&amp;" "&amp;N11))-LEN(SUBSTITUTE(TRIM(L11&amp;" "&amp;M11&amp;" "&amp;N11)," ",""))+1)</f>
        <v/>
      </c>
      <c r="AD11" s="12"/>
    </row>
    <row r="12" customFormat="false" ht="15" hidden="false" customHeight="false" outlineLevel="0" collapsed="false">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1" t="str">
        <f aca="false">IF(AND(L12="",M12="",N12=""),"",LEN(TRIM(L12&amp;" "&amp;M12&amp;" "&amp;N12))-LEN(SUBSTITUTE(TRIM(L12&amp;" "&amp;M12&amp;" "&amp;N12)," ",""))+1)</f>
        <v/>
      </c>
      <c r="AD12" s="12"/>
    </row>
    <row r="13" customFormat="false" ht="15" hidden="false" customHeight="false" outlineLevel="0" collapsed="false">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1" t="str">
        <f aca="false">IF(AND(L13="",M13="",N13=""),"",LEN(TRIM(L13&amp;" "&amp;M13&amp;" "&amp;N13))-LEN(SUBSTITUTE(TRIM(L13&amp;" "&amp;M13&amp;" "&amp;N13)," ",""))+1)</f>
        <v/>
      </c>
      <c r="AD13" s="12"/>
    </row>
    <row r="14" customFormat="false" ht="15" hidden="false" customHeight="false" outlineLevel="0" collapsed="false">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1" t="str">
        <f aca="false">IF(AND(L14="",M14="",N14=""),"",LEN(TRIM(L14&amp;" "&amp;M14&amp;" "&amp;N14))-LEN(SUBSTITUTE(TRIM(L14&amp;" "&amp;M14&amp;" "&amp;N14)," ",""))+1)</f>
        <v/>
      </c>
      <c r="AD14" s="12"/>
    </row>
    <row r="15" customFormat="false" ht="15" hidden="false" customHeight="false" outlineLevel="0" collapsed="false">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1" t="str">
        <f aca="false">IF(AND(L15="",M15="",N15=""),"",LEN(TRIM(L15&amp;" "&amp;M15&amp;" "&amp;N15))-LEN(SUBSTITUTE(TRIM(L15&amp;" "&amp;M15&amp;" "&amp;N15)," ",""))+1)</f>
        <v/>
      </c>
      <c r="AD15" s="12"/>
    </row>
    <row r="16" customFormat="false" ht="15" hidden="false" customHeight="false" outlineLevel="0" collapsed="false">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1" t="str">
        <f aca="false">IF(AND(L16="",M16="",N16=""),"",LEN(TRIM(L16&amp;" "&amp;M16&amp;" "&amp;N16))-LEN(SUBSTITUTE(TRIM(L16&amp;" "&amp;M16&amp;" "&amp;N16)," ",""))+1)</f>
        <v/>
      </c>
      <c r="AD16" s="12"/>
    </row>
    <row r="17" customFormat="false" ht="15" hidden="false" customHeight="false" outlineLevel="0" collapsed="false">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1" t="str">
        <f aca="false">IF(AND(L17="",M17="",N17=""),"",LEN(TRIM(L17&amp;" "&amp;M17&amp;" "&amp;N17))-LEN(SUBSTITUTE(TRIM(L17&amp;" "&amp;M17&amp;" "&amp;N17)," ",""))+1)</f>
        <v/>
      </c>
      <c r="AD17" s="12"/>
    </row>
    <row r="18" customFormat="false" ht="15" hidden="false" customHeight="false" outlineLevel="0" collapsed="false">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1" t="str">
        <f aca="false">IF(AND(L18="",M18="",N18=""),"",LEN(TRIM(L18&amp;" "&amp;M18&amp;" "&amp;N18))-LEN(SUBSTITUTE(TRIM(L18&amp;" "&amp;M18&amp;" "&amp;N18)," ",""))+1)</f>
        <v/>
      </c>
      <c r="AD18" s="12"/>
    </row>
    <row r="19" customFormat="false" ht="15" hidden="false" customHeight="false" outlineLevel="0" collapsed="false">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1" t="str">
        <f aca="false">IF(AND(L19="",M19="",N19=""),"",LEN(TRIM(L19&amp;" "&amp;M19&amp;" "&amp;N19))-LEN(SUBSTITUTE(TRIM(L19&amp;" "&amp;M19&amp;" "&amp;N19)," ",""))+1)</f>
        <v/>
      </c>
      <c r="AD19" s="12"/>
    </row>
    <row r="20" customFormat="false" ht="15" hidden="false" customHeight="false" outlineLevel="0" collapsed="false">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1" t="str">
        <f aca="false">IF(AND(L20="",M20="",N20=""),"",LEN(TRIM(L20&amp;" "&amp;M20&amp;" "&amp;N20))-LEN(SUBSTITUTE(TRIM(L20&amp;" "&amp;M20&amp;" "&amp;N20)," ",""))+1)</f>
        <v/>
      </c>
      <c r="AD20" s="12"/>
    </row>
    <row r="21" customFormat="false" ht="15" hidden="false" customHeight="false" outlineLevel="0" collapsed="false">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1" t="str">
        <f aca="false">IF(AND(L21="",M21="",N21=""),"",LEN(TRIM(L21&amp;" "&amp;M21&amp;" "&amp;N21))-LEN(SUBSTITUTE(TRIM(L21&amp;" "&amp;M21&amp;" "&amp;N21)," ",""))+1)</f>
        <v/>
      </c>
      <c r="AD21" s="12"/>
    </row>
    <row r="22" customFormat="false" ht="15" hidden="false" customHeight="false" outlineLevel="0" collapsed="false">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1" t="str">
        <f aca="false">IF(AND(L22="",M22="",N22=""),"",LEN(TRIM(L22&amp;" "&amp;M22&amp;" "&amp;N22))-LEN(SUBSTITUTE(TRIM(L22&amp;" "&amp;M22&amp;" "&amp;N22)," ",""))+1)</f>
        <v/>
      </c>
      <c r="AD22" s="12"/>
    </row>
    <row r="23" customFormat="false" ht="15" hidden="false" customHeight="false" outlineLevel="0" collapsed="false">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1" t="str">
        <f aca="false">IF(AND(L23="",M23="",N23=""),"",LEN(TRIM(L23&amp;" "&amp;M23&amp;" "&amp;N23))-LEN(SUBSTITUTE(TRIM(L23&amp;" "&amp;M23&amp;" "&amp;N23)," ",""))+1)</f>
        <v/>
      </c>
      <c r="AD23" s="12"/>
    </row>
    <row r="24" customFormat="false" ht="15" hidden="false" customHeight="false" outlineLevel="0" collapsed="false">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1" t="str">
        <f aca="false">IF(AND(L24="",M24="",N24=""),"",LEN(TRIM(L24&amp;" "&amp;M24&amp;" "&amp;N24))-LEN(SUBSTITUTE(TRIM(L24&amp;" "&amp;M24&amp;" "&amp;N24)," ",""))+1)</f>
        <v/>
      </c>
      <c r="AD24" s="12"/>
    </row>
    <row r="25" customFormat="false" ht="15" hidden="false" customHeight="false" outlineLevel="0" collapsed="false">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1" t="str">
        <f aca="false">IF(AND(L25="",M25="",N25=""),"",LEN(TRIM(L25&amp;" "&amp;M25&amp;" "&amp;N25))-LEN(SUBSTITUTE(TRIM(L25&amp;" "&amp;M25&amp;" "&amp;N25)," ",""))+1)</f>
        <v/>
      </c>
      <c r="AD25" s="12"/>
    </row>
    <row r="26" customFormat="false" ht="15" hidden="false" customHeight="false" outlineLevel="0" collapsed="false">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1" t="str">
        <f aca="false">IF(AND(L26="",M26="",N26=""),"",LEN(TRIM(L26&amp;" "&amp;M26&amp;" "&amp;N26))-LEN(SUBSTITUTE(TRIM(L26&amp;" "&amp;M26&amp;" "&amp;N26)," ",""))+1)</f>
        <v/>
      </c>
      <c r="AD26" s="12"/>
    </row>
    <row r="27" customFormat="false" ht="15" hidden="false" customHeight="false" outlineLevel="0" collapsed="false">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1" t="str">
        <f aca="false">IF(AND(L27="",M27="",N27=""),"",LEN(TRIM(L27&amp;" "&amp;M27&amp;" "&amp;N27))-LEN(SUBSTITUTE(TRIM(L27&amp;" "&amp;M27&amp;" "&amp;N27)," ",""))+1)</f>
        <v/>
      </c>
      <c r="AD27" s="12"/>
    </row>
    <row r="28" customFormat="false" ht="15" hidden="false" customHeight="false" outlineLevel="0" collapsed="false">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1" t="str">
        <f aca="false">IF(AND(L28="",M28="",N28=""),"",LEN(TRIM(L28&amp;" "&amp;M28&amp;" "&amp;N28))-LEN(SUBSTITUTE(TRIM(L28&amp;" "&amp;M28&amp;" "&amp;N28)," ",""))+1)</f>
        <v/>
      </c>
      <c r="AD28" s="12"/>
    </row>
    <row r="29" customFormat="false" ht="15" hidden="false" customHeight="false" outlineLevel="0" collapsed="false">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1" t="str">
        <f aca="false">IF(AND(L29="",M29="",N29=""),"",LEN(TRIM(L29&amp;" "&amp;M29&amp;" "&amp;N29))-LEN(SUBSTITUTE(TRIM(L29&amp;" "&amp;M29&amp;" "&amp;N29)," ",""))+1)</f>
        <v/>
      </c>
      <c r="AD29" s="12"/>
    </row>
    <row r="30" customFormat="false" ht="15" hidden="false" customHeight="false" outlineLevel="0" collapsed="false">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1" t="str">
        <f aca="false">IF(AND(L30="",M30="",N30=""),"",LEN(TRIM(L30&amp;" "&amp;M30&amp;" "&amp;N30))-LEN(SUBSTITUTE(TRIM(L30&amp;" "&amp;M30&amp;" "&amp;N30)," ",""))+1)</f>
        <v/>
      </c>
      <c r="AD30" s="12"/>
    </row>
    <row r="31" customFormat="false" ht="15" hidden="false" customHeight="false" outlineLevel="0" collapsed="false">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1" t="str">
        <f aca="false">IF(AND(L31="",M31="",N31=""),"",LEN(TRIM(L31&amp;" "&amp;M31&amp;" "&amp;N31))-LEN(SUBSTITUTE(TRIM(L31&amp;" "&amp;M31&amp;" "&amp;N31)," ",""))+1)</f>
        <v/>
      </c>
      <c r="AD31" s="12"/>
    </row>
    <row r="32" customFormat="false" ht="15" hidden="false" customHeight="false" outlineLevel="0" collapsed="false">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1" t="str">
        <f aca="false">IF(AND(L32="",M32="",N32=""),"",LEN(TRIM(L32&amp;" "&amp;M32&amp;" "&amp;N32))-LEN(SUBSTITUTE(TRIM(L32&amp;" "&amp;M32&amp;" "&amp;N32)," ",""))+1)</f>
        <v/>
      </c>
      <c r="AD32" s="12"/>
    </row>
    <row r="33" customFormat="false" ht="15" hidden="false" customHeight="false" outlineLevel="0" collapsed="false">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1" t="str">
        <f aca="false">IF(AND(L33="",M33="",N33=""),"",LEN(TRIM(L33&amp;" "&amp;M33&amp;" "&amp;N33))-LEN(SUBSTITUTE(TRIM(L33&amp;" "&amp;M33&amp;" "&amp;N33)," ",""))+1)</f>
        <v/>
      </c>
      <c r="AD33" s="12"/>
    </row>
  </sheetData>
  <autoFilter ref="A1:AD33"/>
  <dataValidations count="3">
    <dataValidation allowBlank="true" error="Pick a value from the list" errorStyle="stop" errorTitle="Invalid value" operator="between" showDropDown="false" showErrorMessage="false" showInputMessage="false" sqref="D3:D33" type="list">
      <formula1>"Office,Education,Healthcare,Hospitality &amp; restaurants,Home,Retail,Public buildings,Industry"</formula1>
      <formula2>0</formula2>
    </dataValidation>
    <dataValidation allowBlank="true" error="Pick a value from the list" errorStyle="stop" errorTitle="Invalid value" operator="between" showDropDown="false" showErrorMessage="false" showInputMessage="false" sqref="AD3:AD33" type="list">
      <formula1>"Backlog,Briefed,Drafting,Review,Translation,Ready for dev,Live,On hold"</formula1>
      <formula2>0</formula2>
    </dataValidation>
    <dataValidation allowBlank="true" error="Pick a value from the list" errorStyle="stop" errorTitle="Invalid value" operator="between" showDropDown="false" showErrorMessage="false" showInputMessage="false" sqref="C3:C33 AB3:AB33"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C10" activeCellId="0" sqref="C10"/>
    </sheetView>
  </sheetViews>
  <sheetFormatPr defaultColWidth="8.66796875" defaultRowHeight="15" zeroHeight="false" outlineLevelRow="0" outlineLevelCol="0"/>
  <cols>
    <col collapsed="false" customWidth="true" hidden="false" outlineLevel="0" max="1" min="1" style="0" width="16"/>
    <col collapsed="false" customWidth="true" hidden="false" outlineLevel="0" max="2" min="2" style="0" width="7"/>
    <col collapsed="false" customWidth="true" hidden="false" outlineLevel="0" max="3" min="3" style="0" width="30"/>
    <col collapsed="false" customWidth="true" hidden="false" outlineLevel="0" max="5" min="4" style="0" width="44"/>
    <col collapsed="false" customWidth="true" hidden="false" outlineLevel="0" max="6" min="6" style="0" width="30"/>
    <col collapsed="false" customWidth="true" hidden="false" outlineLevel="0" max="7" min="7" style="0" width="50"/>
    <col collapsed="false" customWidth="true" hidden="false" outlineLevel="0" max="10" min="8" style="0" width="26"/>
    <col collapsed="false" customWidth="true" hidden="false" outlineLevel="0" max="11" min="11" style="0" width="40"/>
    <col collapsed="false" customWidth="true" hidden="false" outlineLevel="0" max="12" min="12" style="0" width="26"/>
    <col collapsed="false" customWidth="true" hidden="false" outlineLevel="0" max="15" min="13" style="0" width="30"/>
    <col collapsed="false" customWidth="true" hidden="false" outlineLevel="0" max="17" min="16" style="0" width="26"/>
    <col collapsed="false" customWidth="true" hidden="false" outlineLevel="0" max="18" min="18" style="0" width="30"/>
    <col collapsed="false" customWidth="true" hidden="false" outlineLevel="0" max="19" min="19" style="0" width="26"/>
    <col collapsed="false" customWidth="true" hidden="false" outlineLevel="0" max="20" min="20" style="0" width="30"/>
    <col collapsed="false" customWidth="true" hidden="false" outlineLevel="0" max="21" min="21" style="0" width="26"/>
    <col collapsed="false" customWidth="true" hidden="false" outlineLevel="0" max="22" min="22" style="0" width="30"/>
    <col collapsed="false" customWidth="true" hidden="false" outlineLevel="0" max="23" min="23" style="0" width="26"/>
    <col collapsed="false" customWidth="true" hidden="false" outlineLevel="0" max="25" min="24" style="0" width="30"/>
    <col collapsed="false" customWidth="true" hidden="false" outlineLevel="0" max="26" min="26" style="0" width="34"/>
    <col collapsed="false" customWidth="true" hidden="false" outlineLevel="0" max="27" min="27" style="0" width="16"/>
    <col collapsed="false" customWidth="true" hidden="false" outlineLevel="0" max="28" min="28" style="0" width="12"/>
  </cols>
  <sheetData>
    <row r="1" customFormat="false" ht="31.5" hidden="false" customHeight="true" outlineLevel="0" collapsed="false">
      <c r="A1" s="4" t="s">
        <v>790</v>
      </c>
      <c r="B1" s="4" t="s">
        <v>290</v>
      </c>
      <c r="C1" s="4" t="s">
        <v>291</v>
      </c>
      <c r="D1" s="4" t="s">
        <v>292</v>
      </c>
      <c r="E1" s="4" t="s">
        <v>293</v>
      </c>
      <c r="F1" s="4" t="s">
        <v>294</v>
      </c>
      <c r="G1" s="4" t="s">
        <v>295</v>
      </c>
      <c r="H1" s="4" t="s">
        <v>848</v>
      </c>
      <c r="I1" s="4" t="s">
        <v>849</v>
      </c>
      <c r="J1" s="4" t="s">
        <v>850</v>
      </c>
      <c r="K1" s="4" t="s">
        <v>851</v>
      </c>
      <c r="L1" s="4" t="s">
        <v>852</v>
      </c>
      <c r="M1" s="4" t="s">
        <v>853</v>
      </c>
      <c r="N1" s="4" t="s">
        <v>854</v>
      </c>
      <c r="O1" s="4" t="s">
        <v>855</v>
      </c>
      <c r="P1" s="4" t="s">
        <v>856</v>
      </c>
      <c r="Q1" s="4" t="s">
        <v>302</v>
      </c>
      <c r="R1" s="4" t="s">
        <v>303</v>
      </c>
      <c r="S1" s="4" t="s">
        <v>304</v>
      </c>
      <c r="T1" s="4" t="s">
        <v>305</v>
      </c>
      <c r="U1" s="4" t="s">
        <v>306</v>
      </c>
      <c r="V1" s="4" t="s">
        <v>307</v>
      </c>
      <c r="W1" s="4" t="s">
        <v>308</v>
      </c>
      <c r="X1" s="4" t="s">
        <v>309</v>
      </c>
      <c r="Y1" s="4" t="s">
        <v>424</v>
      </c>
      <c r="Z1" s="4" t="s">
        <v>857</v>
      </c>
      <c r="AA1" s="4" t="s">
        <v>858</v>
      </c>
      <c r="AB1" s="4" t="s">
        <v>27</v>
      </c>
    </row>
    <row r="2" customFormat="false" ht="63.75" hidden="false" customHeight="true" outlineLevel="0" collapsed="false">
      <c r="A2" s="7" t="s">
        <v>182</v>
      </c>
      <c r="B2" s="7" t="s">
        <v>621</v>
      </c>
      <c r="C2" s="7" t="s">
        <v>859</v>
      </c>
      <c r="D2" s="7"/>
      <c r="E2" s="7"/>
      <c r="F2" s="7"/>
      <c r="G2" s="7" t="s">
        <v>860</v>
      </c>
      <c r="H2" s="7" t="s">
        <v>861</v>
      </c>
      <c r="I2" s="7"/>
      <c r="J2" s="7"/>
      <c r="K2" s="7" t="s">
        <v>862</v>
      </c>
      <c r="L2" s="7"/>
      <c r="M2" s="7"/>
      <c r="N2" s="7"/>
      <c r="O2" s="7"/>
      <c r="P2" s="7"/>
      <c r="Q2" s="7"/>
      <c r="R2" s="7"/>
      <c r="S2" s="7"/>
      <c r="T2" s="7"/>
      <c r="U2" s="7"/>
      <c r="V2" s="7"/>
      <c r="W2" s="7"/>
      <c r="X2" s="7"/>
      <c r="Y2" s="7" t="s">
        <v>454</v>
      </c>
      <c r="Z2" s="7"/>
      <c r="AA2" s="7"/>
      <c r="AB2" s="7" t="s">
        <v>182</v>
      </c>
    </row>
    <row r="3" customFormat="false" ht="48" hidden="false" customHeight="true" outlineLevel="0" collapsed="false">
      <c r="A3" s="10" t="s">
        <v>829</v>
      </c>
      <c r="B3" s="10" t="s">
        <v>192</v>
      </c>
      <c r="C3" s="10" t="s">
        <v>863</v>
      </c>
      <c r="D3" s="10" t="s">
        <v>864</v>
      </c>
      <c r="E3" s="10" t="s">
        <v>865</v>
      </c>
      <c r="F3" s="10" t="s">
        <v>866</v>
      </c>
      <c r="G3" s="10" t="s">
        <v>349</v>
      </c>
      <c r="H3" s="10" t="s">
        <v>867</v>
      </c>
      <c r="I3" s="10" t="s">
        <v>868</v>
      </c>
      <c r="J3" s="10" t="s">
        <v>869</v>
      </c>
      <c r="K3" s="10" t="s">
        <v>870</v>
      </c>
      <c r="L3" s="10" t="s">
        <v>871</v>
      </c>
      <c r="M3" s="10" t="s">
        <v>872</v>
      </c>
      <c r="N3" s="10" t="s">
        <v>873</v>
      </c>
      <c r="O3" s="10" t="s">
        <v>874</v>
      </c>
      <c r="P3" s="10" t="s">
        <v>827</v>
      </c>
      <c r="Q3" s="10" t="s">
        <v>875</v>
      </c>
      <c r="R3" s="10" t="s">
        <v>349</v>
      </c>
      <c r="S3" s="10" t="s">
        <v>876</v>
      </c>
      <c r="T3" s="10" t="s">
        <v>349</v>
      </c>
      <c r="U3" s="10" t="s">
        <v>877</v>
      </c>
      <c r="V3" s="10" t="s">
        <v>349</v>
      </c>
      <c r="W3" s="10" t="s">
        <v>878</v>
      </c>
      <c r="X3" s="10" t="s">
        <v>349</v>
      </c>
      <c r="Y3" s="10" t="s">
        <v>879</v>
      </c>
      <c r="Z3" s="10" t="s">
        <v>880</v>
      </c>
      <c r="AA3" s="10" t="s">
        <v>881</v>
      </c>
      <c r="AB3" s="10" t="s">
        <v>46</v>
      </c>
    </row>
    <row r="4" customFormat="false" ht="15" hidden="false" customHeight="false" outlineLevel="0" collapsed="false">
      <c r="A4" s="11" t="s">
        <v>829</v>
      </c>
      <c r="B4" s="11" t="s">
        <v>77</v>
      </c>
      <c r="C4" s="12"/>
      <c r="D4" s="12"/>
      <c r="E4" s="12"/>
      <c r="F4" s="12"/>
      <c r="G4" s="12"/>
      <c r="H4" s="12"/>
      <c r="I4" s="12"/>
      <c r="J4" s="12"/>
      <c r="K4" s="12"/>
      <c r="L4" s="12"/>
      <c r="M4" s="12"/>
      <c r="N4" s="12"/>
      <c r="O4" s="12"/>
      <c r="P4" s="12"/>
      <c r="Q4" s="12"/>
      <c r="R4" s="12"/>
      <c r="S4" s="12"/>
      <c r="T4" s="12"/>
      <c r="U4" s="12"/>
      <c r="V4" s="12"/>
      <c r="W4" s="12"/>
      <c r="X4" s="12"/>
      <c r="Y4" s="12"/>
      <c r="Z4" s="12"/>
      <c r="AA4" s="12"/>
      <c r="AB4" s="11" t="s">
        <v>46</v>
      </c>
    </row>
    <row r="5" customFormat="false" ht="15" hidden="false" customHeight="false" outlineLevel="0" collapsed="false">
      <c r="A5" s="11" t="s">
        <v>829</v>
      </c>
      <c r="B5" s="11" t="s">
        <v>192</v>
      </c>
      <c r="C5" s="12"/>
      <c r="D5" s="12"/>
      <c r="E5" s="12"/>
      <c r="F5" s="12"/>
      <c r="G5" s="12"/>
      <c r="H5" s="12"/>
      <c r="I5" s="12"/>
      <c r="J5" s="12"/>
      <c r="K5" s="12"/>
      <c r="L5" s="12"/>
      <c r="M5" s="12"/>
      <c r="N5" s="12"/>
      <c r="O5" s="12"/>
      <c r="P5" s="12"/>
      <c r="Q5" s="12"/>
      <c r="R5" s="12"/>
      <c r="S5" s="12"/>
      <c r="T5" s="12"/>
      <c r="U5" s="12"/>
      <c r="V5" s="12"/>
      <c r="W5" s="12"/>
      <c r="X5" s="12"/>
      <c r="Y5" s="12"/>
      <c r="Z5" s="12"/>
      <c r="AA5" s="12"/>
      <c r="AB5" s="11" t="s">
        <v>46</v>
      </c>
    </row>
    <row r="6" customFormat="false" ht="15" hidden="false" customHeight="false" outlineLevel="0" collapsed="false">
      <c r="A6" s="11" t="s">
        <v>829</v>
      </c>
      <c r="B6" s="11" t="s">
        <v>240</v>
      </c>
      <c r="C6" s="12"/>
      <c r="D6" s="12"/>
      <c r="E6" s="12"/>
      <c r="F6" s="12"/>
      <c r="G6" s="12"/>
      <c r="H6" s="12"/>
      <c r="I6" s="12"/>
      <c r="J6" s="12"/>
      <c r="K6" s="12"/>
      <c r="L6" s="12"/>
      <c r="M6" s="12"/>
      <c r="N6" s="12"/>
      <c r="O6" s="12"/>
      <c r="P6" s="12"/>
      <c r="Q6" s="12"/>
      <c r="R6" s="12"/>
      <c r="S6" s="12"/>
      <c r="T6" s="12"/>
      <c r="U6" s="12"/>
      <c r="V6" s="12"/>
      <c r="W6" s="12"/>
      <c r="X6" s="12"/>
      <c r="Y6" s="12"/>
      <c r="Z6" s="12"/>
      <c r="AA6" s="12"/>
      <c r="AB6" s="11" t="s">
        <v>46</v>
      </c>
    </row>
    <row r="7" customFormat="false" ht="15" hidden="false" customHeight="false" outlineLevel="0" collapsed="false">
      <c r="A7" s="11" t="s">
        <v>829</v>
      </c>
      <c r="B7" s="11" t="s">
        <v>279</v>
      </c>
      <c r="C7" s="12"/>
      <c r="D7" s="12"/>
      <c r="E7" s="12"/>
      <c r="F7" s="12"/>
      <c r="G7" s="12"/>
      <c r="H7" s="12"/>
      <c r="I7" s="12"/>
      <c r="J7" s="12"/>
      <c r="K7" s="12"/>
      <c r="L7" s="12"/>
      <c r="M7" s="12"/>
      <c r="N7" s="12"/>
      <c r="O7" s="12"/>
      <c r="P7" s="12"/>
      <c r="Q7" s="12"/>
      <c r="R7" s="12"/>
      <c r="S7" s="12"/>
      <c r="T7" s="12"/>
      <c r="U7" s="12"/>
      <c r="V7" s="12"/>
      <c r="W7" s="12"/>
      <c r="X7" s="12"/>
      <c r="Y7" s="12"/>
      <c r="Z7" s="12"/>
      <c r="AA7" s="12"/>
      <c r="AB7" s="11" t="s">
        <v>46</v>
      </c>
    </row>
    <row r="8" customFormat="false" ht="15" hidden="false" customHeight="false" outlineLevel="0" collapsed="false">
      <c r="A8" s="11" t="s">
        <v>136</v>
      </c>
      <c r="B8" s="11" t="s">
        <v>77</v>
      </c>
      <c r="C8" s="12"/>
      <c r="D8" s="12"/>
      <c r="E8" s="12"/>
      <c r="F8" s="12"/>
      <c r="G8" s="12"/>
      <c r="H8" s="12"/>
      <c r="I8" s="12"/>
      <c r="J8" s="12"/>
      <c r="K8" s="12"/>
      <c r="L8" s="12"/>
      <c r="M8" s="12"/>
      <c r="N8" s="12"/>
      <c r="O8" s="12"/>
      <c r="P8" s="12"/>
      <c r="Q8" s="12"/>
      <c r="R8" s="12"/>
      <c r="S8" s="12"/>
      <c r="T8" s="12"/>
      <c r="U8" s="12"/>
      <c r="V8" s="12"/>
      <c r="W8" s="12"/>
      <c r="X8" s="12"/>
      <c r="Y8" s="12"/>
      <c r="Z8" s="12"/>
      <c r="AA8" s="12"/>
      <c r="AB8" s="11" t="s">
        <v>46</v>
      </c>
    </row>
    <row r="9" customFormat="false" ht="15" hidden="false" customHeight="false" outlineLevel="0" collapsed="false">
      <c r="A9" s="11" t="s">
        <v>136</v>
      </c>
      <c r="B9" s="11" t="s">
        <v>192</v>
      </c>
      <c r="C9" s="12"/>
      <c r="D9" s="12"/>
      <c r="E9" s="12"/>
      <c r="F9" s="12"/>
      <c r="G9" s="12"/>
      <c r="H9" s="12"/>
      <c r="I9" s="12"/>
      <c r="J9" s="12"/>
      <c r="K9" s="12"/>
      <c r="L9" s="12"/>
      <c r="M9" s="12"/>
      <c r="N9" s="12"/>
      <c r="O9" s="12"/>
      <c r="P9" s="12"/>
      <c r="Q9" s="12"/>
      <c r="R9" s="12"/>
      <c r="S9" s="12"/>
      <c r="T9" s="12"/>
      <c r="U9" s="12"/>
      <c r="V9" s="12"/>
      <c r="W9" s="12"/>
      <c r="X9" s="12"/>
      <c r="Y9" s="12"/>
      <c r="Z9" s="12"/>
      <c r="AA9" s="12"/>
      <c r="AB9" s="11" t="s">
        <v>46</v>
      </c>
    </row>
    <row r="10" customFormat="false" ht="15" hidden="false" customHeight="false" outlineLevel="0" collapsed="false">
      <c r="A10" s="11" t="s">
        <v>136</v>
      </c>
      <c r="B10" s="11" t="s">
        <v>240</v>
      </c>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1" t="s">
        <v>46</v>
      </c>
    </row>
    <row r="11" customFormat="false" ht="15" hidden="false" customHeight="false" outlineLevel="0" collapsed="false">
      <c r="A11" s="11" t="s">
        <v>136</v>
      </c>
      <c r="B11" s="11" t="s">
        <v>279</v>
      </c>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1" t="s">
        <v>46</v>
      </c>
    </row>
    <row r="12" customFormat="false" ht="15" hidden="false" customHeight="false" outlineLevel="0" collapsed="false">
      <c r="A12" s="11" t="s">
        <v>140</v>
      </c>
      <c r="B12" s="11" t="s">
        <v>77</v>
      </c>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1" t="s">
        <v>46</v>
      </c>
    </row>
    <row r="13" customFormat="false" ht="15" hidden="false" customHeight="false" outlineLevel="0" collapsed="false">
      <c r="A13" s="11" t="s">
        <v>140</v>
      </c>
      <c r="B13" s="11" t="s">
        <v>192</v>
      </c>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1" t="s">
        <v>46</v>
      </c>
    </row>
    <row r="14" customFormat="false" ht="15" hidden="false" customHeight="false" outlineLevel="0" collapsed="false">
      <c r="A14" s="11" t="s">
        <v>140</v>
      </c>
      <c r="B14" s="11" t="s">
        <v>240</v>
      </c>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1" t="s">
        <v>46</v>
      </c>
    </row>
    <row r="15" customFormat="false" ht="15" hidden="false" customHeight="false" outlineLevel="0" collapsed="false">
      <c r="A15" s="11" t="s">
        <v>140</v>
      </c>
      <c r="B15" s="11" t="s">
        <v>279</v>
      </c>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1" t="s">
        <v>46</v>
      </c>
    </row>
    <row r="16" customFormat="false" ht="27.75" hidden="false" customHeight="true" outlineLevel="0" collapsed="false">
      <c r="A16" s="11" t="s">
        <v>145</v>
      </c>
      <c r="B16" s="11" t="s">
        <v>77</v>
      </c>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1" t="s">
        <v>46</v>
      </c>
    </row>
    <row r="17" customFormat="false" ht="27.75" hidden="false" customHeight="true" outlineLevel="0" collapsed="false">
      <c r="A17" s="11" t="s">
        <v>145</v>
      </c>
      <c r="B17" s="11" t="s">
        <v>192</v>
      </c>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1" t="s">
        <v>46</v>
      </c>
    </row>
    <row r="18" customFormat="false" ht="27.75" hidden="false" customHeight="true" outlineLevel="0" collapsed="false">
      <c r="A18" s="11" t="s">
        <v>145</v>
      </c>
      <c r="B18" s="11" t="s">
        <v>240</v>
      </c>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1" t="s">
        <v>46</v>
      </c>
    </row>
    <row r="19" customFormat="false" ht="27.75" hidden="false" customHeight="true" outlineLevel="0" collapsed="false">
      <c r="A19" s="11" t="s">
        <v>145</v>
      </c>
      <c r="B19" s="11" t="s">
        <v>279</v>
      </c>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1" t="s">
        <v>46</v>
      </c>
    </row>
    <row r="20" customFormat="false" ht="15" hidden="false" customHeight="false" outlineLevel="0" collapsed="false">
      <c r="A20" s="11" t="s">
        <v>149</v>
      </c>
      <c r="B20" s="11" t="s">
        <v>77</v>
      </c>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1" t="s">
        <v>46</v>
      </c>
    </row>
    <row r="21" customFormat="false" ht="15" hidden="false" customHeight="false" outlineLevel="0" collapsed="false">
      <c r="A21" s="11" t="s">
        <v>149</v>
      </c>
      <c r="B21" s="11" t="s">
        <v>192</v>
      </c>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1" t="s">
        <v>46</v>
      </c>
    </row>
    <row r="22" customFormat="false" ht="15" hidden="false" customHeight="false" outlineLevel="0" collapsed="false">
      <c r="A22" s="11" t="s">
        <v>149</v>
      </c>
      <c r="B22" s="11" t="s">
        <v>240</v>
      </c>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1" t="s">
        <v>46</v>
      </c>
    </row>
    <row r="23" customFormat="false" ht="15" hidden="false" customHeight="false" outlineLevel="0" collapsed="false">
      <c r="A23" s="11" t="s">
        <v>149</v>
      </c>
      <c r="B23" s="11" t="s">
        <v>279</v>
      </c>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1" t="s">
        <v>46</v>
      </c>
    </row>
    <row r="24" customFormat="false" ht="15" hidden="false" customHeight="false" outlineLevel="0" collapsed="false">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row>
    <row r="25" customFormat="false" ht="15" hidden="false" customHeight="false" outlineLevel="0" collapsed="false">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row>
    <row r="26" customFormat="false" ht="15" hidden="false" customHeight="false" outlineLevel="0" collapsed="false">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row>
    <row r="27" customFormat="false" ht="15" hidden="false" customHeight="false" outlineLevel="0" collapsed="false">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row>
    <row r="28" customFormat="false" ht="15" hidden="false" customHeight="false" outlineLevel="0" collapsed="false">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row>
    <row r="29" customFormat="false" ht="15" hidden="false" customHeight="false" outlineLevel="0" collapsed="false">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row>
    <row r="30" customFormat="false" ht="15" hidden="false" customHeight="false" outlineLevel="0" collapsed="false">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row>
    <row r="31" customFormat="false" ht="15" hidden="false" customHeight="false" outlineLevel="0" collapsed="false">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row>
    <row r="32" customFormat="false" ht="15" hidden="false" customHeight="false" outlineLevel="0" collapsed="false">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row>
    <row r="33" customFormat="false" ht="15" hidden="false" customHeight="false" outlineLevel="0" collapsed="false">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row>
  </sheetData>
  <autoFilter ref="A1:AB33"/>
  <dataValidations count="3">
    <dataValidation allowBlank="true" error="Pick a value from the list" errorStyle="stop" errorTitle="Invalid value" operator="between" showDropDown="false" showErrorMessage="false" showInputMessage="false" sqref="A3:A33" type="list">
      <formula1>"Office,Education,Healthcare,Hospitality &amp; restaurants,Home,Retail,Public buildings,Industry"</formula1>
      <formula2>0</formula2>
    </dataValidation>
    <dataValidation allowBlank="true" error="Pick a value from the list" errorStyle="stop" errorTitle="Invalid value" operator="between" showDropDown="false" showErrorMessage="false" showInputMessage="false" sqref="B3:B33" type="list">
      <formula1>"en,nl,fr,de,es,pt,da,sv,no,is"</formula1>
      <formula2>0</formula2>
    </dataValidation>
    <dataValidation allowBlank="true" error="Pick a value from the list" errorStyle="stop" errorTitle="Invalid value" operator="between" showDropDown="false" showErrorMessage="false" showInputMessage="false" sqref="AB3:AB33" type="list">
      <formula1>"Backlog,Briefed,Drafting,Review,Translation,Ready for dev,Live,On hold"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51"/>
  <sheetViews>
    <sheetView showFormulas="false" showGridLines="true" showRowColHeaders="true" showZeros="true" rightToLeft="false" tabSelected="false" showOutlineSymbols="true" defaultGridColor="true" view="normal" topLeftCell="K1" colorId="64" zoomScale="100" zoomScaleNormal="100" zoomScalePageLayoutView="100" workbookViewId="0">
      <pane xSplit="0" ySplit="3" topLeftCell="A7" activePane="bottomLeft" state="frozen"/>
      <selection pane="topLeft" activeCell="K1" activeCellId="0" sqref="K1"/>
      <selection pane="bottomLeft" activeCell="V10" activeCellId="0" sqref="V10"/>
    </sheetView>
  </sheetViews>
  <sheetFormatPr defaultColWidth="8.6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7"/>
    <col collapsed="false" customWidth="true" hidden="false" outlineLevel="0" max="6" min="4" style="0" width="30"/>
    <col collapsed="false" customWidth="true" hidden="false" outlineLevel="0" max="7" min="7" style="0" width="10"/>
    <col collapsed="false" customWidth="true" hidden="false" outlineLevel="0" max="10" min="8" style="0" width="44"/>
    <col collapsed="false" customWidth="true" hidden="false" outlineLevel="0" max="11" min="11" style="0" width="40"/>
    <col collapsed="false" customWidth="true" hidden="false" outlineLevel="0" max="12" min="12" style="0" width="44"/>
    <col collapsed="false" customWidth="true" hidden="false" outlineLevel="0" max="13" min="13" style="0" width="10"/>
    <col collapsed="false" customWidth="true" hidden="false" outlineLevel="0" max="14" min="14" style="0" width="16"/>
    <col collapsed="false" customWidth="true" hidden="false" outlineLevel="0" max="15" min="15" style="0" width="12"/>
    <col collapsed="false" customWidth="true" hidden="false" outlineLevel="0" max="17" min="16" style="0" width="30"/>
    <col collapsed="false" customWidth="true" hidden="false" outlineLevel="0" max="18" min="18" style="0" width="40"/>
    <col collapsed="false" customWidth="true" hidden="false" outlineLevel="0" max="19" min="19" style="0" width="18"/>
    <col collapsed="false" customWidth="true" hidden="false" outlineLevel="0" max="20" min="20" style="0" width="34"/>
    <col collapsed="false" customWidth="true" hidden="false" outlineLevel="0" max="21" min="21" style="0" width="24"/>
    <col collapsed="false" customWidth="true" hidden="false" outlineLevel="0" max="22" min="22" style="0" width="10"/>
    <col collapsed="false" customWidth="true" hidden="false" outlineLevel="0" max="23" min="23" style="0" width="60"/>
  </cols>
  <sheetData>
    <row r="1" customFormat="false" ht="31.5" hidden="false" customHeight="true" outlineLevel="0" collapsed="false">
      <c r="A1" s="15" t="s">
        <v>17</v>
      </c>
      <c r="B1" s="15" t="s">
        <v>882</v>
      </c>
      <c r="C1" s="15" t="s">
        <v>290</v>
      </c>
      <c r="D1" s="15" t="s">
        <v>22</v>
      </c>
      <c r="E1" s="15" t="s">
        <v>883</v>
      </c>
      <c r="F1" s="15" t="s">
        <v>170</v>
      </c>
      <c r="G1" s="15" t="s">
        <v>19</v>
      </c>
      <c r="H1" s="15" t="s">
        <v>292</v>
      </c>
      <c r="I1" s="15" t="s">
        <v>293</v>
      </c>
      <c r="J1" s="15" t="s">
        <v>294</v>
      </c>
      <c r="K1" s="15" t="s">
        <v>884</v>
      </c>
      <c r="L1" s="15" t="s">
        <v>885</v>
      </c>
      <c r="M1" s="15" t="s">
        <v>886</v>
      </c>
      <c r="N1" s="15" t="s">
        <v>887</v>
      </c>
      <c r="O1" s="15" t="s">
        <v>424</v>
      </c>
      <c r="P1" s="15" t="s">
        <v>857</v>
      </c>
      <c r="Q1" s="15" t="s">
        <v>888</v>
      </c>
      <c r="R1" s="15" t="s">
        <v>858</v>
      </c>
      <c r="S1" s="15" t="s">
        <v>889</v>
      </c>
      <c r="T1" s="15" t="s">
        <v>890</v>
      </c>
      <c r="U1" s="15" t="s">
        <v>891</v>
      </c>
      <c r="V1" s="15" t="s">
        <v>27</v>
      </c>
      <c r="W1" s="15" t="s">
        <v>892</v>
      </c>
    </row>
    <row r="2" customFormat="false" ht="63.75" hidden="false" customHeight="true" outlineLevel="0" collapsed="false">
      <c r="A2" s="16" t="s">
        <v>893</v>
      </c>
      <c r="B2" s="16" t="s">
        <v>894</v>
      </c>
      <c r="C2" s="16"/>
      <c r="D2" s="16" t="s">
        <v>895</v>
      </c>
      <c r="E2" s="16"/>
      <c r="F2" s="16" t="s">
        <v>896</v>
      </c>
      <c r="G2" s="16"/>
      <c r="H2" s="16"/>
      <c r="I2" s="16"/>
      <c r="J2" s="16"/>
      <c r="K2" s="16"/>
      <c r="L2" s="16" t="s">
        <v>897</v>
      </c>
      <c r="M2" s="16" t="s">
        <v>898</v>
      </c>
      <c r="N2" s="16" t="s">
        <v>43</v>
      </c>
      <c r="O2" s="16" t="s">
        <v>454</v>
      </c>
      <c r="P2" s="16"/>
      <c r="Q2" s="16" t="s">
        <v>899</v>
      </c>
      <c r="R2" s="16" t="s">
        <v>900</v>
      </c>
      <c r="S2" s="16"/>
      <c r="T2" s="16" t="s">
        <v>901</v>
      </c>
      <c r="U2" s="16" t="s">
        <v>902</v>
      </c>
      <c r="V2" s="16" t="s">
        <v>182</v>
      </c>
      <c r="W2" s="16" t="s">
        <v>903</v>
      </c>
    </row>
    <row r="3" customFormat="false" ht="294" hidden="false" customHeight="true" outlineLevel="0" collapsed="false">
      <c r="A3" s="17" t="s">
        <v>904</v>
      </c>
      <c r="B3" s="17" t="s">
        <v>905</v>
      </c>
      <c r="C3" s="17" t="s">
        <v>192</v>
      </c>
      <c r="D3" s="17" t="s">
        <v>906</v>
      </c>
      <c r="E3" s="17" t="s">
        <v>907</v>
      </c>
      <c r="F3" s="17" t="s">
        <v>208</v>
      </c>
      <c r="G3" s="17" t="s">
        <v>908</v>
      </c>
      <c r="H3" s="17" t="s">
        <v>909</v>
      </c>
      <c r="I3" s="17" t="s">
        <v>910</v>
      </c>
      <c r="J3" s="17" t="s">
        <v>911</v>
      </c>
      <c r="K3" s="17" t="s">
        <v>912</v>
      </c>
      <c r="L3" s="17" t="n">
        <v>1200</v>
      </c>
      <c r="M3" s="17" t="s">
        <v>913</v>
      </c>
      <c r="N3" s="17" t="s">
        <v>914</v>
      </c>
      <c r="O3" s="17" t="s">
        <v>915</v>
      </c>
      <c r="P3" s="17" t="s">
        <v>916</v>
      </c>
      <c r="Q3" s="17" t="s">
        <v>917</v>
      </c>
      <c r="R3" s="17" t="s">
        <v>355</v>
      </c>
      <c r="S3" s="17" t="s">
        <v>918</v>
      </c>
      <c r="T3" s="17"/>
      <c r="U3" s="18" t="n">
        <f aca="false">IF(W3&lt;&gt;"",LEN(TRIM(W3))-LEN(SUBSTITUTE(TRIM(W3)," ",""))+1,IF(K3="","",LEN(TRIM(K3))-LEN(SUBSTITUTE(TRIM(K3)," ",""))+1))</f>
        <v>20</v>
      </c>
      <c r="V3" s="17" t="s">
        <v>46</v>
      </c>
      <c r="W3" s="17"/>
    </row>
    <row r="4" customFormat="false" ht="120" hidden="false" customHeight="true" outlineLevel="0" collapsed="false">
      <c r="A4" s="11" t="s">
        <v>893</v>
      </c>
      <c r="B4" s="11" t="s">
        <v>905</v>
      </c>
      <c r="C4" s="11" t="s">
        <v>192</v>
      </c>
      <c r="D4" s="11" t="s">
        <v>906</v>
      </c>
      <c r="E4" s="11" t="s">
        <v>919</v>
      </c>
      <c r="F4" s="11" t="s">
        <v>208</v>
      </c>
      <c r="G4" s="11" t="s">
        <v>908</v>
      </c>
      <c r="H4" s="11" t="s">
        <v>920</v>
      </c>
      <c r="I4" s="11" t="s">
        <v>921</v>
      </c>
      <c r="J4" s="11" t="s">
        <v>908</v>
      </c>
      <c r="K4" s="11" t="s">
        <v>922</v>
      </c>
      <c r="L4" s="11" t="n">
        <v>1200</v>
      </c>
      <c r="M4" s="11" t="s">
        <v>923</v>
      </c>
      <c r="N4" s="11" t="s">
        <v>914</v>
      </c>
      <c r="O4" s="11" t="s">
        <v>924</v>
      </c>
      <c r="P4" s="11" t="s">
        <v>925</v>
      </c>
      <c r="Q4" s="11" t="s">
        <v>926</v>
      </c>
      <c r="R4" s="11" t="s">
        <v>927</v>
      </c>
      <c r="S4" s="11" t="s">
        <v>928</v>
      </c>
      <c r="T4" s="11" t="s">
        <v>929</v>
      </c>
      <c r="U4" s="18" t="n">
        <f aca="false">IF(W4&lt;&gt;"",LEN(TRIM(W4))-LEN(SUBSTITUTE(TRIM(W4)," ",""))+1,IF(K4="","",LEN(TRIM(K4))-LEN(SUBSTITUTE(TRIM(K4)," ",""))+1))</f>
        <v>1374</v>
      </c>
      <c r="V4" s="11" t="s">
        <v>89</v>
      </c>
      <c r="W4" s="11" t="s">
        <v>930</v>
      </c>
    </row>
    <row r="5" customFormat="false" ht="120" hidden="false" customHeight="true" outlineLevel="0" collapsed="false">
      <c r="A5" s="11" t="s">
        <v>931</v>
      </c>
      <c r="B5" s="11" t="s">
        <v>905</v>
      </c>
      <c r="C5" s="11" t="s">
        <v>192</v>
      </c>
      <c r="D5" s="11" t="s">
        <v>932</v>
      </c>
      <c r="E5" s="11" t="s">
        <v>933</v>
      </c>
      <c r="F5" s="11" t="s">
        <v>194</v>
      </c>
      <c r="G5" s="11" t="s">
        <v>934</v>
      </c>
      <c r="H5" s="11" t="s">
        <v>935</v>
      </c>
      <c r="I5" s="11" t="s">
        <v>936</v>
      </c>
      <c r="J5" s="11" t="s">
        <v>934</v>
      </c>
      <c r="K5" s="11" t="s">
        <v>937</v>
      </c>
      <c r="L5" s="11" t="n">
        <v>1200</v>
      </c>
      <c r="M5" s="11" t="s">
        <v>923</v>
      </c>
      <c r="N5" s="11" t="s">
        <v>938</v>
      </c>
      <c r="O5" s="11" t="s">
        <v>939</v>
      </c>
      <c r="P5" s="11" t="s">
        <v>940</v>
      </c>
      <c r="Q5" s="11" t="s">
        <v>941</v>
      </c>
      <c r="R5" s="11" t="s">
        <v>942</v>
      </c>
      <c r="S5" s="11" t="s">
        <v>943</v>
      </c>
      <c r="T5" s="11" t="s">
        <v>944</v>
      </c>
      <c r="U5" s="18" t="n">
        <f aca="false">IF(W5&lt;&gt;"",LEN(TRIM(W5))-LEN(SUBSTITUTE(TRIM(W5)," ",""))+1,IF(K5="","",LEN(TRIM(K5))-LEN(SUBSTITUTE(TRIM(K5)," ",""))+1))</f>
        <v>1201</v>
      </c>
      <c r="V5" s="11" t="s">
        <v>89</v>
      </c>
      <c r="W5" s="11" t="s">
        <v>945</v>
      </c>
    </row>
    <row r="6" customFormat="false" ht="120" hidden="false" customHeight="true" outlineLevel="0" collapsed="false">
      <c r="A6" s="11" t="s">
        <v>946</v>
      </c>
      <c r="B6" s="11" t="s">
        <v>905</v>
      </c>
      <c r="C6" s="11" t="s">
        <v>192</v>
      </c>
      <c r="D6" s="11" t="s">
        <v>947</v>
      </c>
      <c r="E6" s="11" t="s">
        <v>948</v>
      </c>
      <c r="F6" s="11" t="s">
        <v>208</v>
      </c>
      <c r="G6" s="11" t="s">
        <v>949</v>
      </c>
      <c r="H6" s="11" t="s">
        <v>950</v>
      </c>
      <c r="I6" s="11" t="s">
        <v>951</v>
      </c>
      <c r="J6" s="11" t="s">
        <v>949</v>
      </c>
      <c r="K6" s="11" t="s">
        <v>952</v>
      </c>
      <c r="L6" s="11" t="n">
        <v>1200</v>
      </c>
      <c r="M6" s="11" t="s">
        <v>923</v>
      </c>
      <c r="N6" s="11" t="s">
        <v>953</v>
      </c>
      <c r="O6" s="11" t="s">
        <v>954</v>
      </c>
      <c r="P6" s="11" t="s">
        <v>955</v>
      </c>
      <c r="Q6" s="11" t="s">
        <v>956</v>
      </c>
      <c r="R6" s="11" t="s">
        <v>957</v>
      </c>
      <c r="S6" s="11" t="s">
        <v>958</v>
      </c>
      <c r="T6" s="11" t="s">
        <v>959</v>
      </c>
      <c r="U6" s="18" t="n">
        <f aca="false">IF(W6&lt;&gt;"",LEN(TRIM(W6))-LEN(SUBSTITUTE(TRIM(W6)," ",""))+1,IF(K6="","",LEN(TRIM(K6))-LEN(SUBSTITUTE(TRIM(K6)," ",""))+1))</f>
        <v>1185</v>
      </c>
      <c r="V6" s="11" t="s">
        <v>89</v>
      </c>
      <c r="W6" s="11" t="s">
        <v>960</v>
      </c>
    </row>
    <row r="7" customFormat="false" ht="120" hidden="false" customHeight="true" outlineLevel="0" collapsed="false">
      <c r="A7" s="11" t="s">
        <v>961</v>
      </c>
      <c r="B7" s="11" t="s">
        <v>905</v>
      </c>
      <c r="C7" s="11" t="s">
        <v>192</v>
      </c>
      <c r="D7" s="11" t="s">
        <v>962</v>
      </c>
      <c r="E7" s="11" t="s">
        <v>963</v>
      </c>
      <c r="F7" s="11" t="s">
        <v>194</v>
      </c>
      <c r="G7" s="11" t="s">
        <v>964</v>
      </c>
      <c r="H7" s="11" t="s">
        <v>965</v>
      </c>
      <c r="I7" s="11" t="s">
        <v>966</v>
      </c>
      <c r="J7" s="11" t="s">
        <v>964</v>
      </c>
      <c r="K7" s="11" t="s">
        <v>967</v>
      </c>
      <c r="L7" s="11" t="n">
        <v>1200</v>
      </c>
      <c r="M7" s="11" t="s">
        <v>923</v>
      </c>
      <c r="N7" s="11" t="s">
        <v>968</v>
      </c>
      <c r="O7" s="11" t="s">
        <v>969</v>
      </c>
      <c r="P7" s="11" t="s">
        <v>970</v>
      </c>
      <c r="Q7" s="11" t="s">
        <v>971</v>
      </c>
      <c r="R7" s="11" t="s">
        <v>972</v>
      </c>
      <c r="S7" s="11" t="s">
        <v>973</v>
      </c>
      <c r="T7" s="11" t="s">
        <v>974</v>
      </c>
      <c r="U7" s="18" t="n">
        <f aca="false">IF(W7&lt;&gt;"",LEN(TRIM(W7))-LEN(SUBSTITUTE(TRIM(W7)," ",""))+1,IF(K7="","",LEN(TRIM(K7))-LEN(SUBSTITUTE(TRIM(K7)," ",""))+1))</f>
        <v>1293</v>
      </c>
      <c r="V7" s="11" t="s">
        <v>89</v>
      </c>
      <c r="W7" s="11" t="s">
        <v>975</v>
      </c>
    </row>
    <row r="8" customFormat="false" ht="120" hidden="false" customHeight="true" outlineLevel="0" collapsed="false">
      <c r="A8" s="11" t="s">
        <v>976</v>
      </c>
      <c r="B8" s="11" t="s">
        <v>905</v>
      </c>
      <c r="C8" s="11" t="s">
        <v>192</v>
      </c>
      <c r="D8" s="11" t="s">
        <v>977</v>
      </c>
      <c r="E8" s="11" t="s">
        <v>978</v>
      </c>
      <c r="F8" s="11" t="s">
        <v>194</v>
      </c>
      <c r="G8" s="11" t="s">
        <v>979</v>
      </c>
      <c r="H8" s="11" t="s">
        <v>980</v>
      </c>
      <c r="I8" s="11" t="s">
        <v>981</v>
      </c>
      <c r="J8" s="11" t="s">
        <v>979</v>
      </c>
      <c r="K8" s="11" t="s">
        <v>982</v>
      </c>
      <c r="L8" s="11" t="n">
        <v>1200</v>
      </c>
      <c r="M8" s="11" t="s">
        <v>923</v>
      </c>
      <c r="N8" s="11" t="s">
        <v>983</v>
      </c>
      <c r="O8" s="11" t="s">
        <v>984</v>
      </c>
      <c r="P8" s="11" t="s">
        <v>985</v>
      </c>
      <c r="Q8" s="11" t="s">
        <v>986</v>
      </c>
      <c r="R8" s="11" t="s">
        <v>987</v>
      </c>
      <c r="S8" s="11" t="s">
        <v>988</v>
      </c>
      <c r="T8" s="11" t="s">
        <v>989</v>
      </c>
      <c r="U8" s="18" t="n">
        <f aca="false">IF(W8&lt;&gt;"",LEN(TRIM(W8))-LEN(SUBSTITUTE(TRIM(W8)," ",""))+1,IF(K8="","",LEN(TRIM(K8))-LEN(SUBSTITUTE(TRIM(K8)," ",""))+1))</f>
        <v>1207</v>
      </c>
      <c r="V8" s="11" t="s">
        <v>89</v>
      </c>
      <c r="W8" s="11" t="s">
        <v>990</v>
      </c>
    </row>
    <row r="9" customFormat="false" ht="120" hidden="false" customHeight="true" outlineLevel="0" collapsed="false">
      <c r="A9" s="11" t="s">
        <v>991</v>
      </c>
      <c r="B9" s="11" t="s">
        <v>905</v>
      </c>
      <c r="C9" s="11" t="s">
        <v>192</v>
      </c>
      <c r="D9" s="11" t="s">
        <v>146</v>
      </c>
      <c r="E9" s="11" t="s">
        <v>992</v>
      </c>
      <c r="F9" s="11" t="s">
        <v>199</v>
      </c>
      <c r="G9" s="11" t="s">
        <v>993</v>
      </c>
      <c r="H9" s="11" t="s">
        <v>994</v>
      </c>
      <c r="I9" s="11" t="s">
        <v>995</v>
      </c>
      <c r="J9" s="11" t="s">
        <v>993</v>
      </c>
      <c r="K9" s="11" t="s">
        <v>996</v>
      </c>
      <c r="L9" s="11" t="n">
        <v>1200</v>
      </c>
      <c r="M9" s="11" t="s">
        <v>923</v>
      </c>
      <c r="N9" s="11" t="s">
        <v>997</v>
      </c>
      <c r="O9" s="11" t="s">
        <v>998</v>
      </c>
      <c r="P9" s="11" t="s">
        <v>999</v>
      </c>
      <c r="Q9" s="11" t="s">
        <v>1000</v>
      </c>
      <c r="R9" s="11" t="s">
        <v>1001</v>
      </c>
      <c r="S9" s="11" t="s">
        <v>1002</v>
      </c>
      <c r="T9" s="11" t="s">
        <v>1003</v>
      </c>
      <c r="U9" s="18" t="n">
        <f aca="false">IF(W9&lt;&gt;"",LEN(TRIM(W9))-LEN(SUBSTITUTE(TRIM(W9)," ",""))+1,IF(K9="","",LEN(TRIM(K9))-LEN(SUBSTITUTE(TRIM(K9)," ",""))+1))</f>
        <v>1174</v>
      </c>
      <c r="V9" s="11" t="s">
        <v>89</v>
      </c>
      <c r="W9" s="11" t="s">
        <v>1004</v>
      </c>
    </row>
    <row r="10" customFormat="false" ht="27.75" hidden="false" customHeight="true" outlineLevel="0" collapsed="false">
      <c r="A10" s="11" t="s">
        <v>1005</v>
      </c>
      <c r="B10" s="11" t="s">
        <v>1006</v>
      </c>
      <c r="C10" s="11" t="s">
        <v>240</v>
      </c>
      <c r="D10" s="11" t="s">
        <v>1007</v>
      </c>
      <c r="E10" s="11"/>
      <c r="F10" s="12" t="s">
        <v>208</v>
      </c>
      <c r="G10" s="11" t="s">
        <v>1008</v>
      </c>
      <c r="H10" s="11"/>
      <c r="I10" s="12"/>
      <c r="J10" s="12"/>
      <c r="K10" s="12"/>
      <c r="L10" s="12" t="n">
        <v>1200</v>
      </c>
      <c r="M10" s="18" t="s">
        <v>923</v>
      </c>
      <c r="N10" s="18" t="s">
        <v>1009</v>
      </c>
      <c r="O10" s="12"/>
      <c r="P10" s="12"/>
      <c r="Q10" s="12"/>
      <c r="R10" s="12"/>
      <c r="S10" s="12"/>
      <c r="T10" s="12"/>
      <c r="U10" s="18" t="str">
        <f aca="false">IF(W10&lt;&gt;"",LEN(TRIM(W10))-LEN(SUBSTITUTE(TRIM(W10)," ",""))+1,IF(K10="","",LEN(TRIM(K10))-LEN(SUBSTITUTE(TRIM(K10)," ",""))+1))</f>
        <v/>
      </c>
      <c r="V10" s="11" t="s">
        <v>60</v>
      </c>
      <c r="W10" s="11"/>
    </row>
    <row r="11" customFormat="false" ht="27.75" hidden="false" customHeight="true" outlineLevel="0" collapsed="false">
      <c r="A11" s="11" t="s">
        <v>1010</v>
      </c>
      <c r="B11" s="11" t="s">
        <v>1006</v>
      </c>
      <c r="C11" s="11" t="s">
        <v>240</v>
      </c>
      <c r="D11" s="11" t="s">
        <v>1011</v>
      </c>
      <c r="E11" s="11"/>
      <c r="F11" s="12" t="s">
        <v>194</v>
      </c>
      <c r="G11" s="11" t="s">
        <v>1012</v>
      </c>
      <c r="H11" s="11"/>
      <c r="I11" s="12"/>
      <c r="J11" s="12"/>
      <c r="K11" s="12"/>
      <c r="L11" s="12" t="n">
        <v>1200</v>
      </c>
      <c r="M11" s="18" t="s">
        <v>923</v>
      </c>
      <c r="N11" s="18" t="s">
        <v>1013</v>
      </c>
      <c r="O11" s="12"/>
      <c r="P11" s="12"/>
      <c r="Q11" s="12"/>
      <c r="R11" s="12"/>
      <c r="S11" s="12"/>
      <c r="T11" s="12"/>
      <c r="U11" s="18" t="str">
        <f aca="false">IF(W11&lt;&gt;"",LEN(TRIM(W11))-LEN(SUBSTITUTE(TRIM(W11)," ",""))+1,IF(K11="","",LEN(TRIM(K11))-LEN(SUBSTITUTE(TRIM(K11)," ",""))+1))</f>
        <v/>
      </c>
      <c r="V11" s="11" t="s">
        <v>60</v>
      </c>
      <c r="W11" s="11"/>
    </row>
    <row r="12" customFormat="false" ht="27.75" hidden="false" customHeight="true" outlineLevel="0" collapsed="false">
      <c r="A12" s="11" t="s">
        <v>1014</v>
      </c>
      <c r="B12" s="11" t="s">
        <v>1006</v>
      </c>
      <c r="C12" s="11" t="s">
        <v>240</v>
      </c>
      <c r="D12" s="11" t="s">
        <v>1015</v>
      </c>
      <c r="E12" s="11"/>
      <c r="F12" s="12" t="s">
        <v>194</v>
      </c>
      <c r="G12" s="11" t="s">
        <v>1016</v>
      </c>
      <c r="H12" s="11"/>
      <c r="I12" s="12"/>
      <c r="J12" s="12"/>
      <c r="K12" s="12"/>
      <c r="L12" s="12" t="n">
        <v>1200</v>
      </c>
      <c r="M12" s="18" t="s">
        <v>923</v>
      </c>
      <c r="N12" s="18" t="s">
        <v>1017</v>
      </c>
      <c r="O12" s="12"/>
      <c r="P12" s="12"/>
      <c r="Q12" s="12"/>
      <c r="R12" s="12"/>
      <c r="S12" s="12"/>
      <c r="T12" s="12"/>
      <c r="U12" s="18" t="str">
        <f aca="false">IF(W12&lt;&gt;"",LEN(TRIM(W12))-LEN(SUBSTITUTE(TRIM(W12)," ",""))+1,IF(K12="","",LEN(TRIM(K12))-LEN(SUBSTITUTE(TRIM(K12)," ",""))+1))</f>
        <v/>
      </c>
      <c r="V12" s="11" t="s">
        <v>60</v>
      </c>
      <c r="W12" s="11"/>
    </row>
    <row r="13" customFormat="false" ht="27.75" hidden="false" customHeight="true" outlineLevel="0" collapsed="false">
      <c r="A13" s="11" t="s">
        <v>1018</v>
      </c>
      <c r="B13" s="11" t="s">
        <v>1006</v>
      </c>
      <c r="C13" s="11" t="s">
        <v>240</v>
      </c>
      <c r="D13" s="11" t="s">
        <v>1019</v>
      </c>
      <c r="E13" s="11"/>
      <c r="F13" s="12" t="s">
        <v>194</v>
      </c>
      <c r="G13" s="11" t="s">
        <v>1020</v>
      </c>
      <c r="H13" s="11"/>
      <c r="I13" s="12"/>
      <c r="J13" s="12"/>
      <c r="K13" s="12"/>
      <c r="L13" s="12" t="n">
        <v>1200</v>
      </c>
      <c r="M13" s="18" t="s">
        <v>923</v>
      </c>
      <c r="N13" s="18" t="s">
        <v>1021</v>
      </c>
      <c r="O13" s="12"/>
      <c r="P13" s="12"/>
      <c r="Q13" s="12"/>
      <c r="R13" s="12"/>
      <c r="S13" s="12"/>
      <c r="T13" s="12"/>
      <c r="U13" s="18" t="str">
        <f aca="false">IF(W13&lt;&gt;"",LEN(TRIM(W13))-LEN(SUBSTITUTE(TRIM(W13)," ",""))+1,IF(K13="","",LEN(TRIM(K13))-LEN(SUBSTITUTE(TRIM(K13)," ",""))+1))</f>
        <v/>
      </c>
      <c r="V13" s="11" t="s">
        <v>60</v>
      </c>
      <c r="W13" s="11"/>
    </row>
    <row r="14" customFormat="false" ht="27.75" hidden="false" customHeight="true" outlineLevel="0" collapsed="false">
      <c r="A14" s="11" t="s">
        <v>1022</v>
      </c>
      <c r="B14" s="11" t="s">
        <v>1023</v>
      </c>
      <c r="C14" s="11" t="s">
        <v>279</v>
      </c>
      <c r="D14" s="11" t="s">
        <v>1024</v>
      </c>
      <c r="E14" s="11"/>
      <c r="F14" s="12" t="s">
        <v>208</v>
      </c>
      <c r="G14" s="11" t="s">
        <v>1025</v>
      </c>
      <c r="H14" s="11"/>
      <c r="I14" s="12"/>
      <c r="J14" s="12"/>
      <c r="K14" s="12"/>
      <c r="L14" s="12" t="n">
        <v>1200</v>
      </c>
      <c r="M14" s="18" t="s">
        <v>923</v>
      </c>
      <c r="N14" s="18" t="s">
        <v>1009</v>
      </c>
      <c r="O14" s="12"/>
      <c r="P14" s="12"/>
      <c r="Q14" s="12"/>
      <c r="R14" s="12"/>
      <c r="S14" s="12"/>
      <c r="T14" s="12"/>
      <c r="U14" s="18" t="str">
        <f aca="false">IF(W14&lt;&gt;"",LEN(TRIM(W14))-LEN(SUBSTITUTE(TRIM(W14)," ",""))+1,IF(K14="","",LEN(TRIM(K14))-LEN(SUBSTITUTE(TRIM(K14)," ",""))+1))</f>
        <v/>
      </c>
      <c r="V14" s="11" t="s">
        <v>60</v>
      </c>
      <c r="W14" s="11"/>
    </row>
    <row r="15" customFormat="false" ht="27.75" hidden="false" customHeight="true" outlineLevel="0" collapsed="false">
      <c r="A15" s="11" t="s">
        <v>1026</v>
      </c>
      <c r="B15" s="11" t="s">
        <v>1023</v>
      </c>
      <c r="C15" s="11" t="s">
        <v>279</v>
      </c>
      <c r="D15" s="11" t="s">
        <v>1027</v>
      </c>
      <c r="E15" s="11"/>
      <c r="F15" s="12" t="s">
        <v>194</v>
      </c>
      <c r="G15" s="11" t="s">
        <v>1028</v>
      </c>
      <c r="H15" s="11"/>
      <c r="I15" s="12"/>
      <c r="J15" s="12"/>
      <c r="K15" s="12"/>
      <c r="L15" s="12" t="n">
        <v>1200</v>
      </c>
      <c r="M15" s="18" t="s">
        <v>923</v>
      </c>
      <c r="N15" s="18" t="s">
        <v>1013</v>
      </c>
      <c r="O15" s="12"/>
      <c r="P15" s="12"/>
      <c r="Q15" s="12"/>
      <c r="R15" s="12"/>
      <c r="S15" s="12"/>
      <c r="T15" s="12"/>
      <c r="U15" s="18" t="str">
        <f aca="false">IF(W15&lt;&gt;"",LEN(TRIM(W15))-LEN(SUBSTITUTE(TRIM(W15)," ",""))+1,IF(K15="","",LEN(TRIM(K15))-LEN(SUBSTITUTE(TRIM(K15)," ",""))+1))</f>
        <v/>
      </c>
      <c r="V15" s="11" t="s">
        <v>60</v>
      </c>
      <c r="W15" s="11"/>
    </row>
    <row r="16" customFormat="false" ht="57.45" hidden="false" customHeight="false" outlineLevel="0" collapsed="false">
      <c r="A16" s="11" t="s">
        <v>1029</v>
      </c>
      <c r="B16" s="11" t="s">
        <v>1023</v>
      </c>
      <c r="C16" s="11" t="s">
        <v>279</v>
      </c>
      <c r="D16" s="11" t="s">
        <v>1030</v>
      </c>
      <c r="E16" s="11"/>
      <c r="F16" s="12" t="s">
        <v>194</v>
      </c>
      <c r="G16" s="11" t="s">
        <v>1031</v>
      </c>
      <c r="H16" s="11"/>
      <c r="I16" s="12"/>
      <c r="J16" s="12"/>
      <c r="K16" s="12"/>
      <c r="L16" s="12" t="n">
        <v>1200</v>
      </c>
      <c r="M16" s="18" t="s">
        <v>923</v>
      </c>
      <c r="N16" s="18" t="s">
        <v>1017</v>
      </c>
      <c r="O16" s="12"/>
      <c r="P16" s="12"/>
      <c r="Q16" s="12"/>
      <c r="R16" s="12"/>
      <c r="S16" s="12"/>
      <c r="T16" s="12"/>
      <c r="U16" s="18" t="str">
        <f aca="false">IF(W16&lt;&gt;"",LEN(TRIM(W16))-LEN(SUBSTITUTE(TRIM(W16)," ",""))+1,IF(K16="","",LEN(TRIM(K16))-LEN(SUBSTITUTE(TRIM(K16)," ",""))+1))</f>
        <v/>
      </c>
      <c r="V16" s="11" t="s">
        <v>60</v>
      </c>
      <c r="W16" s="11"/>
    </row>
    <row r="17" customFormat="false" ht="27.75" hidden="false" customHeight="true" outlineLevel="0" collapsed="false">
      <c r="A17" s="11" t="s">
        <v>1032</v>
      </c>
      <c r="B17" s="11" t="s">
        <v>1023</v>
      </c>
      <c r="C17" s="11" t="s">
        <v>279</v>
      </c>
      <c r="D17" s="11" t="s">
        <v>1033</v>
      </c>
      <c r="E17" s="11"/>
      <c r="F17" s="12" t="s">
        <v>208</v>
      </c>
      <c r="G17" s="11" t="s">
        <v>1034</v>
      </c>
      <c r="H17" s="11"/>
      <c r="I17" s="12"/>
      <c r="J17" s="12"/>
      <c r="K17" s="12"/>
      <c r="L17" s="12" t="n">
        <v>1200</v>
      </c>
      <c r="M17" s="18" t="s">
        <v>923</v>
      </c>
      <c r="N17" s="18" t="s">
        <v>1021</v>
      </c>
      <c r="O17" s="12"/>
      <c r="P17" s="12"/>
      <c r="Q17" s="12"/>
      <c r="R17" s="12"/>
      <c r="S17" s="12"/>
      <c r="T17" s="12"/>
      <c r="U17" s="18" t="str">
        <f aca="false">IF(W17&lt;&gt;"",LEN(TRIM(W17))-LEN(SUBSTITUTE(TRIM(W17)," ",""))+1,IF(K17="","",LEN(TRIM(K17))-LEN(SUBSTITUTE(TRIM(K17)," ",""))+1))</f>
        <v/>
      </c>
      <c r="V17" s="11" t="s">
        <v>60</v>
      </c>
      <c r="W17" s="11"/>
    </row>
    <row r="18" customFormat="false" ht="27.75" hidden="false" customHeight="true" outlineLevel="0" collapsed="false">
      <c r="A18" s="11" t="s">
        <v>1035</v>
      </c>
      <c r="B18" s="11" t="s">
        <v>1036</v>
      </c>
      <c r="C18" s="11" t="s">
        <v>77</v>
      </c>
      <c r="D18" s="11" t="s">
        <v>1037</v>
      </c>
      <c r="E18" s="11"/>
      <c r="F18" s="12" t="s">
        <v>208</v>
      </c>
      <c r="G18" s="11" t="s">
        <v>1038</v>
      </c>
      <c r="H18" s="11"/>
      <c r="I18" s="12"/>
      <c r="J18" s="12"/>
      <c r="K18" s="12"/>
      <c r="L18" s="12" t="n">
        <v>1200</v>
      </c>
      <c r="M18" s="18" t="s">
        <v>923</v>
      </c>
      <c r="N18" s="18" t="s">
        <v>1009</v>
      </c>
      <c r="O18" s="12"/>
      <c r="P18" s="12"/>
      <c r="Q18" s="12"/>
      <c r="R18" s="12"/>
      <c r="S18" s="12"/>
      <c r="T18" s="12"/>
      <c r="U18" s="18" t="str">
        <f aca="false">IF(W18&lt;&gt;"",LEN(TRIM(W18))-LEN(SUBSTITUTE(TRIM(W18)," ",""))+1,IF(K18="","",LEN(TRIM(K18))-LEN(SUBSTITUTE(TRIM(K18)," ",""))+1))</f>
        <v/>
      </c>
      <c r="V18" s="11" t="s">
        <v>60</v>
      </c>
      <c r="W18" s="11"/>
    </row>
    <row r="19" customFormat="false" ht="27.75" hidden="false" customHeight="true" outlineLevel="0" collapsed="false">
      <c r="A19" s="11" t="s">
        <v>1039</v>
      </c>
      <c r="B19" s="11" t="s">
        <v>1036</v>
      </c>
      <c r="C19" s="11" t="s">
        <v>77</v>
      </c>
      <c r="D19" s="11" t="s">
        <v>1040</v>
      </c>
      <c r="E19" s="11"/>
      <c r="F19" s="12" t="s">
        <v>208</v>
      </c>
      <c r="G19" s="11" t="s">
        <v>1041</v>
      </c>
      <c r="H19" s="11"/>
      <c r="I19" s="12"/>
      <c r="J19" s="12"/>
      <c r="K19" s="12"/>
      <c r="L19" s="12" t="n">
        <v>1200</v>
      </c>
      <c r="M19" s="18" t="s">
        <v>923</v>
      </c>
      <c r="N19" s="18" t="s">
        <v>1013</v>
      </c>
      <c r="O19" s="12"/>
      <c r="P19" s="12"/>
      <c r="Q19" s="12"/>
      <c r="R19" s="12"/>
      <c r="S19" s="12"/>
      <c r="T19" s="12"/>
      <c r="U19" s="18" t="str">
        <f aca="false">IF(W19&lt;&gt;"",LEN(TRIM(W19))-LEN(SUBSTITUTE(TRIM(W19)," ",""))+1,IF(K19="","",LEN(TRIM(K19))-LEN(SUBSTITUTE(TRIM(K19)," ",""))+1))</f>
        <v/>
      </c>
      <c r="V19" s="11" t="s">
        <v>60</v>
      </c>
      <c r="W19" s="11"/>
    </row>
    <row r="20" customFormat="false" ht="27.75" hidden="false" customHeight="true" outlineLevel="0" collapsed="false">
      <c r="A20" s="11" t="s">
        <v>1042</v>
      </c>
      <c r="B20" s="11" t="s">
        <v>1036</v>
      </c>
      <c r="C20" s="11" t="s">
        <v>77</v>
      </c>
      <c r="D20" s="11" t="s">
        <v>1043</v>
      </c>
      <c r="E20" s="11"/>
      <c r="F20" s="12" t="s">
        <v>194</v>
      </c>
      <c r="G20" s="11" t="s">
        <v>1044</v>
      </c>
      <c r="H20" s="11"/>
      <c r="I20" s="12"/>
      <c r="J20" s="12"/>
      <c r="K20" s="12"/>
      <c r="L20" s="12" t="n">
        <v>1200</v>
      </c>
      <c r="M20" s="18" t="s">
        <v>923</v>
      </c>
      <c r="N20" s="18" t="s">
        <v>1017</v>
      </c>
      <c r="O20" s="12"/>
      <c r="P20" s="12"/>
      <c r="Q20" s="12"/>
      <c r="R20" s="12"/>
      <c r="S20" s="12"/>
      <c r="T20" s="12"/>
      <c r="U20" s="18" t="str">
        <f aca="false">IF(W20&lt;&gt;"",LEN(TRIM(W20))-LEN(SUBSTITUTE(TRIM(W20)," ",""))+1,IF(K20="","",LEN(TRIM(K20))-LEN(SUBSTITUTE(TRIM(K20)," ",""))+1))</f>
        <v/>
      </c>
      <c r="V20" s="11" t="s">
        <v>60</v>
      </c>
      <c r="W20" s="11"/>
    </row>
    <row r="21" customFormat="false" ht="27.75" hidden="false" customHeight="true" outlineLevel="0" collapsed="false">
      <c r="A21" s="11" t="s">
        <v>1045</v>
      </c>
      <c r="B21" s="11" t="s">
        <v>1036</v>
      </c>
      <c r="C21" s="11" t="s">
        <v>77</v>
      </c>
      <c r="D21" s="11" t="s">
        <v>1046</v>
      </c>
      <c r="E21" s="11"/>
      <c r="F21" s="12" t="s">
        <v>194</v>
      </c>
      <c r="G21" s="11" t="s">
        <v>1047</v>
      </c>
      <c r="H21" s="11"/>
      <c r="I21" s="12"/>
      <c r="J21" s="12"/>
      <c r="K21" s="12"/>
      <c r="L21" s="12" t="n">
        <v>1200</v>
      </c>
      <c r="M21" s="18" t="s">
        <v>923</v>
      </c>
      <c r="N21" s="18" t="s">
        <v>1021</v>
      </c>
      <c r="O21" s="12"/>
      <c r="P21" s="12"/>
      <c r="Q21" s="12"/>
      <c r="R21" s="12"/>
      <c r="S21" s="12"/>
      <c r="T21" s="12"/>
      <c r="U21" s="18" t="str">
        <f aca="false">IF(W21&lt;&gt;"",LEN(TRIM(W21))-LEN(SUBSTITUTE(TRIM(W21)," ",""))+1,IF(K21="","",LEN(TRIM(K21))-LEN(SUBSTITUTE(TRIM(K21)," ",""))+1))</f>
        <v/>
      </c>
      <c r="V21" s="11" t="s">
        <v>60</v>
      </c>
      <c r="W21" s="11"/>
    </row>
    <row r="22" customFormat="false" ht="15" hidden="false" customHeight="false" outlineLevel="0" collapsed="false">
      <c r="A22" s="12"/>
      <c r="B22" s="12"/>
      <c r="C22" s="12"/>
      <c r="D22" s="12"/>
      <c r="E22" s="12"/>
      <c r="F22" s="12"/>
      <c r="G22" s="12"/>
      <c r="H22" s="12"/>
      <c r="I22" s="12"/>
      <c r="J22" s="12"/>
      <c r="K22" s="12"/>
      <c r="L22" s="12"/>
      <c r="M22" s="12"/>
      <c r="N22" s="12"/>
      <c r="O22" s="12"/>
      <c r="P22" s="12"/>
      <c r="Q22" s="12"/>
      <c r="R22" s="12"/>
      <c r="S22" s="12"/>
      <c r="T22" s="12"/>
      <c r="U22" s="12"/>
      <c r="V22" s="11" t="str">
        <f aca="false">IF(L22="","",LEN(TRIM(L22))-LEN(SUBSTITUTE(TRIM(L22)," ",""))+1)</f>
        <v/>
      </c>
      <c r="W22" s="12"/>
    </row>
    <row r="23" customFormat="false" ht="15" hidden="false" customHeight="false" outlineLevel="0" collapsed="false">
      <c r="A23" s="12"/>
      <c r="B23" s="12"/>
      <c r="C23" s="12"/>
      <c r="D23" s="12"/>
      <c r="E23" s="12"/>
      <c r="F23" s="12"/>
      <c r="G23" s="12"/>
      <c r="H23" s="12"/>
      <c r="I23" s="12"/>
      <c r="J23" s="12"/>
      <c r="K23" s="12"/>
      <c r="L23" s="12"/>
      <c r="M23" s="12"/>
      <c r="N23" s="12"/>
      <c r="O23" s="12"/>
      <c r="P23" s="12"/>
      <c r="Q23" s="12"/>
      <c r="R23" s="12"/>
      <c r="S23" s="12"/>
      <c r="T23" s="12"/>
      <c r="U23" s="12"/>
      <c r="V23" s="11" t="str">
        <f aca="false">IF(L23="","",LEN(TRIM(L23))-LEN(SUBSTITUTE(TRIM(L23)," ",""))+1)</f>
        <v/>
      </c>
      <c r="W23" s="12"/>
    </row>
    <row r="24" customFormat="false" ht="15" hidden="false" customHeight="false" outlineLevel="0" collapsed="false">
      <c r="A24" s="12"/>
      <c r="B24" s="12"/>
      <c r="C24" s="12"/>
      <c r="D24" s="12"/>
      <c r="E24" s="12"/>
      <c r="F24" s="12"/>
      <c r="G24" s="12"/>
      <c r="H24" s="12"/>
      <c r="I24" s="12"/>
      <c r="J24" s="12"/>
      <c r="K24" s="12"/>
      <c r="L24" s="12"/>
      <c r="M24" s="12"/>
      <c r="N24" s="12"/>
      <c r="O24" s="12"/>
      <c r="P24" s="12"/>
      <c r="Q24" s="12"/>
      <c r="R24" s="12"/>
      <c r="S24" s="12"/>
      <c r="T24" s="12"/>
      <c r="U24" s="12"/>
      <c r="V24" s="11" t="str">
        <f aca="false">IF(L24="","",LEN(TRIM(L24))-LEN(SUBSTITUTE(TRIM(L24)," ",""))+1)</f>
        <v/>
      </c>
      <c r="W24" s="12"/>
    </row>
    <row r="25" customFormat="false" ht="15" hidden="false" customHeight="false" outlineLevel="0" collapsed="false">
      <c r="A25" s="12"/>
      <c r="B25" s="12"/>
      <c r="C25" s="12"/>
      <c r="D25" s="12"/>
      <c r="E25" s="12"/>
      <c r="F25" s="12"/>
      <c r="G25" s="12"/>
      <c r="H25" s="12"/>
      <c r="I25" s="12"/>
      <c r="J25" s="12"/>
      <c r="K25" s="12"/>
      <c r="L25" s="12"/>
      <c r="M25" s="12"/>
      <c r="N25" s="12"/>
      <c r="O25" s="12"/>
      <c r="P25" s="12"/>
      <c r="Q25" s="12"/>
      <c r="R25" s="12"/>
      <c r="S25" s="12"/>
      <c r="T25" s="12"/>
      <c r="U25" s="12"/>
      <c r="V25" s="11" t="str">
        <f aca="false">IF(L25="","",LEN(TRIM(L25))-LEN(SUBSTITUTE(TRIM(L25)," ",""))+1)</f>
        <v/>
      </c>
      <c r="W25" s="12"/>
    </row>
    <row r="26" customFormat="false" ht="15" hidden="false" customHeight="false" outlineLevel="0" collapsed="false">
      <c r="A26" s="12"/>
      <c r="B26" s="12"/>
      <c r="C26" s="12"/>
      <c r="D26" s="12"/>
      <c r="E26" s="12"/>
      <c r="F26" s="12"/>
      <c r="G26" s="12"/>
      <c r="H26" s="12"/>
      <c r="I26" s="12"/>
      <c r="J26" s="12"/>
      <c r="K26" s="12"/>
      <c r="L26" s="12"/>
      <c r="M26" s="12"/>
      <c r="N26" s="12"/>
      <c r="O26" s="12"/>
      <c r="P26" s="12"/>
      <c r="Q26" s="12"/>
      <c r="R26" s="12"/>
      <c r="S26" s="12"/>
      <c r="T26" s="12"/>
      <c r="U26" s="12"/>
      <c r="V26" s="11" t="str">
        <f aca="false">IF(L26="","",LEN(TRIM(L26))-LEN(SUBSTITUTE(TRIM(L26)," ",""))+1)</f>
        <v/>
      </c>
      <c r="W26" s="12"/>
    </row>
    <row r="27" customFormat="false" ht="15" hidden="false" customHeight="false" outlineLevel="0" collapsed="false">
      <c r="A27" s="12"/>
      <c r="B27" s="12"/>
      <c r="C27" s="12"/>
      <c r="D27" s="12"/>
      <c r="E27" s="12"/>
      <c r="F27" s="12"/>
      <c r="G27" s="12"/>
      <c r="H27" s="12"/>
      <c r="I27" s="12"/>
      <c r="J27" s="12"/>
      <c r="K27" s="12"/>
      <c r="L27" s="12"/>
      <c r="M27" s="12"/>
      <c r="N27" s="12"/>
      <c r="O27" s="12"/>
      <c r="P27" s="12"/>
      <c r="Q27" s="12"/>
      <c r="R27" s="12"/>
      <c r="S27" s="12"/>
      <c r="T27" s="12"/>
      <c r="U27" s="12"/>
      <c r="V27" s="11" t="str">
        <f aca="false">IF(L27="","",LEN(TRIM(L27))-LEN(SUBSTITUTE(TRIM(L27)," ",""))+1)</f>
        <v/>
      </c>
      <c r="W27" s="12"/>
    </row>
    <row r="28" customFormat="false" ht="15" hidden="false" customHeight="false" outlineLevel="0" collapsed="false">
      <c r="A28" s="12"/>
      <c r="B28" s="12"/>
      <c r="C28" s="12"/>
      <c r="D28" s="12"/>
      <c r="E28" s="12"/>
      <c r="F28" s="12"/>
      <c r="G28" s="12"/>
      <c r="H28" s="12"/>
      <c r="I28" s="12"/>
      <c r="J28" s="12"/>
      <c r="K28" s="12"/>
      <c r="L28" s="12"/>
      <c r="M28" s="12"/>
      <c r="N28" s="12"/>
      <c r="O28" s="12"/>
      <c r="P28" s="12"/>
      <c r="Q28" s="12"/>
      <c r="R28" s="12"/>
      <c r="S28" s="12"/>
      <c r="T28" s="12"/>
      <c r="U28" s="12"/>
      <c r="V28" s="11" t="str">
        <f aca="false">IF(L28="","",LEN(TRIM(L28))-LEN(SUBSTITUTE(TRIM(L28)," ",""))+1)</f>
        <v/>
      </c>
      <c r="W28" s="12"/>
    </row>
    <row r="29" customFormat="false" ht="15" hidden="false" customHeight="false" outlineLevel="0" collapsed="false">
      <c r="A29" s="12"/>
      <c r="B29" s="12"/>
      <c r="C29" s="12"/>
      <c r="D29" s="12"/>
      <c r="E29" s="12"/>
      <c r="F29" s="12"/>
      <c r="G29" s="12"/>
      <c r="H29" s="12"/>
      <c r="I29" s="12"/>
      <c r="J29" s="12"/>
      <c r="K29" s="12"/>
      <c r="L29" s="12"/>
      <c r="M29" s="12"/>
      <c r="N29" s="12"/>
      <c r="O29" s="12"/>
      <c r="P29" s="12"/>
      <c r="Q29" s="12"/>
      <c r="R29" s="12"/>
      <c r="S29" s="12"/>
      <c r="T29" s="12"/>
      <c r="U29" s="12"/>
      <c r="V29" s="11" t="str">
        <f aca="false">IF(L29="","",LEN(TRIM(L29))-LEN(SUBSTITUTE(TRIM(L29)," ",""))+1)</f>
        <v/>
      </c>
      <c r="W29" s="12"/>
    </row>
    <row r="30" customFormat="false" ht="15" hidden="false" customHeight="false" outlineLevel="0" collapsed="false">
      <c r="A30" s="12"/>
      <c r="B30" s="12"/>
      <c r="C30" s="12"/>
      <c r="D30" s="12"/>
      <c r="E30" s="12"/>
      <c r="F30" s="12"/>
      <c r="G30" s="12"/>
      <c r="H30" s="12"/>
      <c r="I30" s="12"/>
      <c r="J30" s="12"/>
      <c r="K30" s="12"/>
      <c r="L30" s="12"/>
      <c r="M30" s="12"/>
      <c r="N30" s="12"/>
      <c r="O30" s="12"/>
      <c r="P30" s="12"/>
      <c r="Q30" s="12"/>
      <c r="R30" s="12"/>
      <c r="S30" s="12"/>
      <c r="T30" s="12"/>
      <c r="U30" s="12"/>
      <c r="V30" s="11" t="str">
        <f aca="false">IF(L30="","",LEN(TRIM(L30))-LEN(SUBSTITUTE(TRIM(L30)," ",""))+1)</f>
        <v/>
      </c>
      <c r="W30" s="12"/>
    </row>
    <row r="31" customFormat="false" ht="15" hidden="false" customHeight="false" outlineLevel="0" collapsed="false">
      <c r="A31" s="12"/>
      <c r="B31" s="12"/>
      <c r="C31" s="12"/>
      <c r="D31" s="12"/>
      <c r="E31" s="12"/>
      <c r="F31" s="12"/>
      <c r="G31" s="12"/>
      <c r="H31" s="12"/>
      <c r="I31" s="12"/>
      <c r="J31" s="12"/>
      <c r="K31" s="12"/>
      <c r="L31" s="12"/>
      <c r="M31" s="12"/>
      <c r="N31" s="12"/>
      <c r="O31" s="12"/>
      <c r="P31" s="12"/>
      <c r="Q31" s="12"/>
      <c r="R31" s="12"/>
      <c r="S31" s="12"/>
      <c r="T31" s="12"/>
      <c r="U31" s="12"/>
      <c r="V31" s="11" t="str">
        <f aca="false">IF(L31="","",LEN(TRIM(L31))-LEN(SUBSTITUTE(TRIM(L31)," ",""))+1)</f>
        <v/>
      </c>
      <c r="W31" s="12"/>
    </row>
    <row r="32" customFormat="false" ht="15" hidden="false" customHeight="false" outlineLevel="0" collapsed="false">
      <c r="A32" s="12"/>
      <c r="B32" s="12"/>
      <c r="C32" s="12"/>
      <c r="D32" s="12"/>
      <c r="E32" s="12"/>
      <c r="F32" s="12"/>
      <c r="G32" s="12"/>
      <c r="H32" s="12"/>
      <c r="I32" s="12"/>
      <c r="J32" s="12"/>
      <c r="K32" s="12"/>
      <c r="L32" s="12"/>
      <c r="M32" s="12"/>
      <c r="N32" s="12"/>
      <c r="O32" s="12"/>
      <c r="P32" s="12"/>
      <c r="Q32" s="12"/>
      <c r="R32" s="12"/>
      <c r="S32" s="12"/>
      <c r="T32" s="12"/>
      <c r="U32" s="12"/>
      <c r="V32" s="11" t="str">
        <f aca="false">IF(L32="","",LEN(TRIM(L32))-LEN(SUBSTITUTE(TRIM(L32)," ",""))+1)</f>
        <v/>
      </c>
      <c r="W32" s="12"/>
    </row>
    <row r="33" customFormat="false" ht="15" hidden="false" customHeight="false" outlineLevel="0" collapsed="false">
      <c r="A33" s="12"/>
      <c r="B33" s="12"/>
      <c r="C33" s="12"/>
      <c r="D33" s="12"/>
      <c r="E33" s="12"/>
      <c r="F33" s="12"/>
      <c r="G33" s="12"/>
      <c r="H33" s="12"/>
      <c r="I33" s="12"/>
      <c r="J33" s="12"/>
      <c r="K33" s="12"/>
      <c r="L33" s="12"/>
      <c r="M33" s="12"/>
      <c r="N33" s="12"/>
      <c r="O33" s="12"/>
      <c r="P33" s="12"/>
      <c r="Q33" s="12"/>
      <c r="R33" s="12"/>
      <c r="S33" s="12"/>
      <c r="T33" s="12"/>
      <c r="U33" s="12"/>
      <c r="V33" s="11" t="str">
        <f aca="false">IF(L33="","",LEN(TRIM(L33))-LEN(SUBSTITUTE(TRIM(L33)," ",""))+1)</f>
        <v/>
      </c>
      <c r="W33" s="12"/>
    </row>
    <row r="34" customFormat="false" ht="15" hidden="false" customHeight="false" outlineLevel="0" collapsed="false">
      <c r="A34" s="12"/>
      <c r="B34" s="12"/>
      <c r="C34" s="12"/>
      <c r="D34" s="12"/>
      <c r="E34" s="12"/>
      <c r="F34" s="12"/>
      <c r="G34" s="12"/>
      <c r="H34" s="12"/>
      <c r="I34" s="12"/>
      <c r="J34" s="12"/>
      <c r="K34" s="12"/>
      <c r="L34" s="12"/>
      <c r="M34" s="12"/>
      <c r="N34" s="12"/>
      <c r="O34" s="12"/>
      <c r="P34" s="12"/>
      <c r="Q34" s="12"/>
      <c r="R34" s="12"/>
      <c r="S34" s="12"/>
      <c r="T34" s="12"/>
      <c r="U34" s="12"/>
      <c r="V34" s="11" t="str">
        <f aca="false">IF(L34="","",LEN(TRIM(L34))-LEN(SUBSTITUTE(TRIM(L34)," ",""))+1)</f>
        <v/>
      </c>
      <c r="W34" s="12"/>
    </row>
    <row r="35" customFormat="false" ht="15" hidden="false" customHeight="false" outlineLevel="0" collapsed="false">
      <c r="A35" s="12"/>
      <c r="B35" s="12"/>
      <c r="C35" s="12"/>
      <c r="D35" s="12"/>
      <c r="E35" s="12"/>
      <c r="F35" s="12"/>
      <c r="G35" s="12"/>
      <c r="H35" s="12"/>
      <c r="I35" s="12"/>
      <c r="J35" s="12"/>
      <c r="K35" s="12"/>
      <c r="L35" s="12"/>
      <c r="M35" s="12"/>
      <c r="N35" s="12"/>
      <c r="O35" s="12"/>
      <c r="P35" s="12"/>
      <c r="Q35" s="12"/>
      <c r="R35" s="12"/>
      <c r="S35" s="12"/>
      <c r="T35" s="12"/>
      <c r="U35" s="12"/>
      <c r="V35" s="11" t="str">
        <f aca="false">IF(L35="","",LEN(TRIM(L35))-LEN(SUBSTITUTE(TRIM(L35)," ",""))+1)</f>
        <v/>
      </c>
      <c r="W35" s="12"/>
    </row>
    <row r="36" customFormat="false" ht="15" hidden="false" customHeight="false" outlineLevel="0" collapsed="false">
      <c r="A36" s="12"/>
      <c r="B36" s="12"/>
      <c r="C36" s="12"/>
      <c r="D36" s="12"/>
      <c r="E36" s="12"/>
      <c r="F36" s="12"/>
      <c r="G36" s="12"/>
      <c r="H36" s="12"/>
      <c r="I36" s="12"/>
      <c r="J36" s="12"/>
      <c r="K36" s="12"/>
      <c r="L36" s="12"/>
      <c r="M36" s="12"/>
      <c r="N36" s="12"/>
      <c r="O36" s="12"/>
      <c r="P36" s="12"/>
      <c r="Q36" s="12"/>
      <c r="R36" s="12"/>
      <c r="S36" s="12"/>
      <c r="T36" s="12"/>
      <c r="U36" s="12"/>
      <c r="V36" s="11" t="str">
        <f aca="false">IF(L36="","",LEN(TRIM(L36))-LEN(SUBSTITUTE(TRIM(L36)," ",""))+1)</f>
        <v/>
      </c>
      <c r="W36" s="12"/>
    </row>
    <row r="37" customFormat="false" ht="15" hidden="false" customHeight="false" outlineLevel="0" collapsed="false">
      <c r="A37" s="12"/>
      <c r="B37" s="12"/>
      <c r="C37" s="12"/>
      <c r="D37" s="12"/>
      <c r="E37" s="12"/>
      <c r="F37" s="12"/>
      <c r="G37" s="12"/>
      <c r="H37" s="12"/>
      <c r="I37" s="12"/>
      <c r="J37" s="12"/>
      <c r="K37" s="12"/>
      <c r="L37" s="12"/>
      <c r="M37" s="12"/>
      <c r="N37" s="12"/>
      <c r="O37" s="12"/>
      <c r="P37" s="12"/>
      <c r="Q37" s="12"/>
      <c r="R37" s="12"/>
      <c r="S37" s="12"/>
      <c r="T37" s="12"/>
      <c r="U37" s="12"/>
      <c r="V37" s="11" t="str">
        <f aca="false">IF(L37="","",LEN(TRIM(L37))-LEN(SUBSTITUTE(TRIM(L37)," ",""))+1)</f>
        <v/>
      </c>
      <c r="W37" s="12"/>
    </row>
    <row r="38" customFormat="false" ht="15" hidden="false" customHeight="false" outlineLevel="0" collapsed="false">
      <c r="A38" s="12"/>
      <c r="B38" s="12"/>
      <c r="C38" s="12"/>
      <c r="D38" s="12"/>
      <c r="E38" s="12"/>
      <c r="F38" s="12"/>
      <c r="G38" s="12"/>
      <c r="H38" s="12"/>
      <c r="I38" s="12"/>
      <c r="J38" s="12"/>
      <c r="K38" s="12"/>
      <c r="L38" s="12"/>
      <c r="M38" s="12"/>
      <c r="N38" s="12"/>
      <c r="O38" s="12"/>
      <c r="P38" s="12"/>
      <c r="Q38" s="12"/>
      <c r="R38" s="12"/>
      <c r="S38" s="12"/>
      <c r="T38" s="12"/>
      <c r="U38" s="12"/>
      <c r="V38" s="11" t="str">
        <f aca="false">IF(L38="","",LEN(TRIM(L38))-LEN(SUBSTITUTE(TRIM(L38)," ",""))+1)</f>
        <v/>
      </c>
      <c r="W38" s="12"/>
    </row>
    <row r="39" customFormat="false" ht="15" hidden="false" customHeight="false" outlineLevel="0" collapsed="false">
      <c r="A39" s="12"/>
      <c r="B39" s="12"/>
      <c r="C39" s="12"/>
      <c r="D39" s="12"/>
      <c r="E39" s="12"/>
      <c r="F39" s="12"/>
      <c r="G39" s="12"/>
      <c r="H39" s="12"/>
      <c r="I39" s="12"/>
      <c r="J39" s="12"/>
      <c r="K39" s="12"/>
      <c r="L39" s="12"/>
      <c r="M39" s="12"/>
      <c r="N39" s="12"/>
      <c r="O39" s="12"/>
      <c r="P39" s="12"/>
      <c r="Q39" s="12"/>
      <c r="R39" s="12"/>
      <c r="S39" s="12"/>
      <c r="T39" s="12"/>
      <c r="U39" s="12"/>
      <c r="V39" s="11" t="str">
        <f aca="false">IF(L39="","",LEN(TRIM(L39))-LEN(SUBSTITUTE(TRIM(L39)," ",""))+1)</f>
        <v/>
      </c>
      <c r="W39" s="12"/>
    </row>
    <row r="40" customFormat="false" ht="15" hidden="false" customHeight="false" outlineLevel="0" collapsed="false">
      <c r="A40" s="12"/>
      <c r="B40" s="12"/>
      <c r="C40" s="12"/>
      <c r="D40" s="12"/>
      <c r="E40" s="12"/>
      <c r="F40" s="12"/>
      <c r="G40" s="12"/>
      <c r="H40" s="12"/>
      <c r="I40" s="12"/>
      <c r="J40" s="12"/>
      <c r="K40" s="12"/>
      <c r="L40" s="12"/>
      <c r="M40" s="12"/>
      <c r="N40" s="12"/>
      <c r="O40" s="12"/>
      <c r="P40" s="12"/>
      <c r="Q40" s="12"/>
      <c r="R40" s="12"/>
      <c r="S40" s="12"/>
      <c r="T40" s="12"/>
      <c r="U40" s="12"/>
      <c r="V40" s="11" t="str">
        <f aca="false">IF(L40="","",LEN(TRIM(L40))-LEN(SUBSTITUTE(TRIM(L40)," ",""))+1)</f>
        <v/>
      </c>
      <c r="W40" s="12"/>
    </row>
    <row r="41" customFormat="false" ht="15" hidden="false" customHeight="false" outlineLevel="0" collapsed="false">
      <c r="A41" s="12"/>
      <c r="B41" s="12"/>
      <c r="C41" s="12"/>
      <c r="D41" s="12"/>
      <c r="E41" s="12"/>
      <c r="F41" s="12"/>
      <c r="G41" s="12"/>
      <c r="H41" s="12"/>
      <c r="I41" s="12"/>
      <c r="J41" s="12"/>
      <c r="K41" s="12"/>
      <c r="L41" s="12"/>
      <c r="M41" s="12"/>
      <c r="N41" s="12"/>
      <c r="O41" s="12"/>
      <c r="P41" s="12"/>
      <c r="Q41" s="12"/>
      <c r="R41" s="12"/>
      <c r="S41" s="12"/>
      <c r="T41" s="12"/>
      <c r="U41" s="12"/>
      <c r="V41" s="11" t="str">
        <f aca="false">IF(L41="","",LEN(TRIM(L41))-LEN(SUBSTITUTE(TRIM(L41)," ",""))+1)</f>
        <v/>
      </c>
      <c r="W41" s="12"/>
    </row>
    <row r="42" customFormat="false" ht="15" hidden="false" customHeight="false" outlineLevel="0" collapsed="false">
      <c r="A42" s="12"/>
      <c r="B42" s="12"/>
      <c r="C42" s="12"/>
      <c r="D42" s="12"/>
      <c r="E42" s="12"/>
      <c r="F42" s="12"/>
      <c r="G42" s="12"/>
      <c r="H42" s="12"/>
      <c r="I42" s="12"/>
      <c r="J42" s="12"/>
      <c r="K42" s="12"/>
      <c r="L42" s="12"/>
      <c r="M42" s="12"/>
      <c r="N42" s="12"/>
      <c r="O42" s="12"/>
      <c r="P42" s="12"/>
      <c r="Q42" s="12"/>
      <c r="R42" s="12"/>
      <c r="S42" s="12"/>
      <c r="T42" s="12"/>
      <c r="U42" s="12"/>
      <c r="V42" s="11" t="str">
        <f aca="false">IF(L42="","",LEN(TRIM(L42))-LEN(SUBSTITUTE(TRIM(L42)," ",""))+1)</f>
        <v/>
      </c>
      <c r="W42" s="12"/>
    </row>
    <row r="43" customFormat="false" ht="15" hidden="false" customHeight="false" outlineLevel="0" collapsed="false">
      <c r="A43" s="12"/>
      <c r="B43" s="12"/>
      <c r="C43" s="12"/>
      <c r="D43" s="12"/>
      <c r="E43" s="12"/>
      <c r="F43" s="12"/>
      <c r="G43" s="12"/>
      <c r="H43" s="12"/>
      <c r="I43" s="12"/>
      <c r="J43" s="12"/>
      <c r="K43" s="12"/>
      <c r="L43" s="12"/>
      <c r="M43" s="12"/>
      <c r="N43" s="12"/>
      <c r="O43" s="12"/>
      <c r="P43" s="12"/>
      <c r="Q43" s="12"/>
      <c r="R43" s="12"/>
      <c r="S43" s="12"/>
      <c r="T43" s="12"/>
      <c r="U43" s="12"/>
      <c r="V43" s="11" t="str">
        <f aca="false">IF(L43="","",LEN(TRIM(L43))-LEN(SUBSTITUTE(TRIM(L43)," ",""))+1)</f>
        <v/>
      </c>
      <c r="W43" s="12"/>
    </row>
    <row r="44" customFormat="false" ht="15" hidden="false" customHeight="false" outlineLevel="0" collapsed="false">
      <c r="A44" s="12"/>
      <c r="B44" s="12"/>
      <c r="C44" s="12"/>
      <c r="D44" s="12"/>
      <c r="E44" s="12"/>
      <c r="F44" s="12"/>
      <c r="G44" s="12"/>
      <c r="H44" s="12"/>
      <c r="I44" s="12"/>
      <c r="J44" s="12"/>
      <c r="K44" s="12"/>
      <c r="L44" s="12"/>
      <c r="M44" s="12"/>
      <c r="N44" s="12"/>
      <c r="O44" s="12"/>
      <c r="P44" s="12"/>
      <c r="Q44" s="12"/>
      <c r="R44" s="12"/>
      <c r="S44" s="12"/>
      <c r="T44" s="12"/>
      <c r="U44" s="12"/>
      <c r="V44" s="11" t="str">
        <f aca="false">IF(L44="","",LEN(TRIM(L44))-LEN(SUBSTITUTE(TRIM(L44)," ",""))+1)</f>
        <v/>
      </c>
      <c r="W44" s="12"/>
    </row>
    <row r="45" customFormat="false" ht="15" hidden="false" customHeight="false" outlineLevel="0" collapsed="false">
      <c r="A45" s="12"/>
      <c r="B45" s="12"/>
      <c r="C45" s="12"/>
      <c r="D45" s="12"/>
      <c r="E45" s="12"/>
      <c r="F45" s="12"/>
      <c r="G45" s="12"/>
      <c r="H45" s="12"/>
      <c r="I45" s="12"/>
      <c r="J45" s="12"/>
      <c r="K45" s="12"/>
      <c r="L45" s="12"/>
      <c r="M45" s="12"/>
      <c r="N45" s="12"/>
      <c r="O45" s="12"/>
      <c r="P45" s="12"/>
      <c r="Q45" s="12"/>
      <c r="R45" s="12"/>
      <c r="S45" s="12"/>
      <c r="T45" s="12"/>
      <c r="U45" s="12"/>
      <c r="V45" s="11" t="str">
        <f aca="false">IF(L45="","",LEN(TRIM(L45))-LEN(SUBSTITUTE(TRIM(L45)," ",""))+1)</f>
        <v/>
      </c>
      <c r="W45" s="12"/>
    </row>
    <row r="46" customFormat="false" ht="15" hidden="false" customHeight="false" outlineLevel="0" collapsed="false">
      <c r="A46" s="12"/>
      <c r="B46" s="12"/>
      <c r="C46" s="12"/>
      <c r="D46" s="12"/>
      <c r="E46" s="12"/>
      <c r="F46" s="12"/>
      <c r="G46" s="12"/>
      <c r="H46" s="12"/>
      <c r="I46" s="12"/>
      <c r="J46" s="12"/>
      <c r="K46" s="12"/>
      <c r="L46" s="12"/>
      <c r="M46" s="12"/>
      <c r="N46" s="12"/>
      <c r="O46" s="12"/>
      <c r="P46" s="12"/>
      <c r="Q46" s="12"/>
      <c r="R46" s="12"/>
      <c r="S46" s="12"/>
      <c r="T46" s="12"/>
      <c r="U46" s="12"/>
      <c r="V46" s="11" t="str">
        <f aca="false">IF(L46="","",LEN(TRIM(L46))-LEN(SUBSTITUTE(TRIM(L46)," ",""))+1)</f>
        <v/>
      </c>
      <c r="W46" s="12"/>
    </row>
    <row r="47" customFormat="false" ht="15" hidden="false" customHeight="false" outlineLevel="0" collapsed="false">
      <c r="A47" s="12"/>
      <c r="B47" s="12"/>
      <c r="C47" s="12"/>
      <c r="D47" s="12"/>
      <c r="E47" s="12"/>
      <c r="F47" s="12"/>
      <c r="G47" s="12"/>
      <c r="H47" s="12"/>
      <c r="I47" s="12"/>
      <c r="J47" s="12"/>
      <c r="K47" s="12"/>
      <c r="L47" s="12"/>
      <c r="M47" s="12"/>
      <c r="N47" s="12"/>
      <c r="O47" s="12"/>
      <c r="P47" s="12"/>
      <c r="Q47" s="12"/>
      <c r="R47" s="12"/>
      <c r="S47" s="12"/>
      <c r="T47" s="12"/>
      <c r="U47" s="12"/>
      <c r="V47" s="11" t="str">
        <f aca="false">IF(L47="","",LEN(TRIM(L47))-LEN(SUBSTITUTE(TRIM(L47)," ",""))+1)</f>
        <v/>
      </c>
      <c r="W47" s="12"/>
    </row>
    <row r="48" customFormat="false" ht="15" hidden="false" customHeight="false" outlineLevel="0" collapsed="false">
      <c r="A48" s="12"/>
      <c r="B48" s="12"/>
      <c r="C48" s="12"/>
      <c r="D48" s="12"/>
      <c r="E48" s="12"/>
      <c r="F48" s="12"/>
      <c r="G48" s="12"/>
      <c r="H48" s="12"/>
      <c r="I48" s="12"/>
      <c r="J48" s="12"/>
      <c r="K48" s="12"/>
      <c r="L48" s="12"/>
      <c r="M48" s="12"/>
      <c r="N48" s="12"/>
      <c r="O48" s="12"/>
      <c r="P48" s="12"/>
      <c r="Q48" s="12"/>
      <c r="R48" s="12"/>
      <c r="S48" s="12"/>
      <c r="T48" s="12"/>
      <c r="U48" s="12"/>
      <c r="V48" s="11" t="str">
        <f aca="false">IF(L48="","",LEN(TRIM(L48))-LEN(SUBSTITUTE(TRIM(L48)," ",""))+1)</f>
        <v/>
      </c>
      <c r="W48" s="12"/>
    </row>
    <row r="49" customFormat="false" ht="15" hidden="false" customHeight="false" outlineLevel="0" collapsed="false">
      <c r="A49" s="12"/>
      <c r="B49" s="12"/>
      <c r="C49" s="12"/>
      <c r="D49" s="12"/>
      <c r="E49" s="12"/>
      <c r="F49" s="12"/>
      <c r="G49" s="12"/>
      <c r="H49" s="12"/>
      <c r="I49" s="12"/>
      <c r="J49" s="12"/>
      <c r="K49" s="12"/>
      <c r="L49" s="12"/>
      <c r="M49" s="12"/>
      <c r="N49" s="12"/>
      <c r="O49" s="12"/>
      <c r="P49" s="12"/>
      <c r="Q49" s="12"/>
      <c r="R49" s="12"/>
      <c r="S49" s="12"/>
      <c r="T49" s="12"/>
      <c r="U49" s="12"/>
      <c r="V49" s="11" t="str">
        <f aca="false">IF(L49="","",LEN(TRIM(L49))-LEN(SUBSTITUTE(TRIM(L49)," ",""))+1)</f>
        <v/>
      </c>
      <c r="W49" s="12"/>
    </row>
    <row r="50" customFormat="false" ht="15" hidden="false" customHeight="false" outlineLevel="0" collapsed="false">
      <c r="A50" s="12"/>
      <c r="B50" s="12"/>
      <c r="C50" s="12"/>
      <c r="D50" s="12"/>
      <c r="E50" s="12"/>
      <c r="F50" s="12"/>
      <c r="G50" s="12"/>
      <c r="H50" s="12"/>
      <c r="I50" s="12"/>
      <c r="J50" s="12"/>
      <c r="K50" s="12"/>
      <c r="L50" s="12"/>
      <c r="M50" s="12"/>
      <c r="N50" s="12"/>
      <c r="O50" s="12"/>
      <c r="P50" s="12"/>
      <c r="Q50" s="12"/>
      <c r="R50" s="12"/>
      <c r="S50" s="12"/>
      <c r="T50" s="12"/>
      <c r="U50" s="12"/>
      <c r="V50" s="11" t="str">
        <f aca="false">IF(L50="","",LEN(TRIM(L50))-LEN(SUBSTITUTE(TRIM(L50)," ",""))+1)</f>
        <v/>
      </c>
      <c r="W50" s="12"/>
    </row>
    <row r="51" customFormat="false" ht="15" hidden="false" customHeight="false" outlineLevel="0" collapsed="false">
      <c r="A51" s="12"/>
      <c r="B51" s="12"/>
      <c r="C51" s="12"/>
      <c r="D51" s="12"/>
      <c r="E51" s="12"/>
      <c r="F51" s="12"/>
      <c r="G51" s="12"/>
      <c r="H51" s="12"/>
      <c r="I51" s="12"/>
      <c r="J51" s="12"/>
      <c r="K51" s="12"/>
      <c r="L51" s="12"/>
      <c r="M51" s="12"/>
      <c r="N51" s="12"/>
      <c r="O51" s="12"/>
      <c r="P51" s="12"/>
      <c r="Q51" s="12"/>
      <c r="R51" s="12"/>
      <c r="S51" s="12"/>
      <c r="T51" s="12"/>
      <c r="U51" s="12"/>
      <c r="V51" s="11" t="str">
        <f aca="false">IF(L51="","",LEN(TRIM(L51))-LEN(SUBSTITUTE(TRIM(L51)," ",""))+1)</f>
        <v/>
      </c>
      <c r="W51" s="12"/>
    </row>
  </sheetData>
  <autoFilter ref="A1:W51"/>
  <dataValidations count="3">
    <dataValidation allowBlank="true" error="Pick a value from the list" errorStyle="stop" errorTitle="Invalid value" operator="between" showDropDown="false" showErrorMessage="false" showInputMessage="false" sqref="C3:C51" type="list">
      <formula1>"en,nl,fr,de,es,pt,da,sv,no,is"</formula1>
      <formula2>0</formula2>
    </dataValidation>
    <dataValidation allowBlank="true" error="Pick a value from the list" errorStyle="stop" errorTitle="Invalid value" operator="between" showDropDown="false" showErrorMessage="false" showInputMessage="false" sqref="W3 W10:W51" type="list">
      <formula1>"Backlog,Briefed,Drafting,Review,Translation,Ready for dev,Live,On hold"</formula1>
      <formula2>0</formula2>
    </dataValidation>
    <dataValidation allowBlank="true" error="Pick a value from the list" errorStyle="stop" errorTitle="Invalid value" operator="between" showDropDown="false" showErrorMessage="false" showInputMessage="false" sqref="G3 F4:F9 G10:G51" type="list">
      <formula1>"learn,compare,buy"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12"/>
    <col collapsed="false" customWidth="true" hidden="false" outlineLevel="0" max="3" min="2" style="0" width="8"/>
    <col collapsed="false" customWidth="true" hidden="false" outlineLevel="0" max="4" min="4" style="0" width="16"/>
    <col collapsed="false" customWidth="true" hidden="false" outlineLevel="0" max="6" min="5" style="0" width="12"/>
    <col collapsed="false" customWidth="true" hidden="false" outlineLevel="0" max="9" min="7" style="0" width="18"/>
    <col collapsed="false" customWidth="true" hidden="false" outlineLevel="0" max="10" min="10" style="0" width="10"/>
    <col collapsed="false" customWidth="true" hidden="false" outlineLevel="0" max="11" min="11" style="0" width="9"/>
    <col collapsed="false" customWidth="true" hidden="false" outlineLevel="0" max="12" min="12" style="0" width="22"/>
    <col collapsed="false" customWidth="true" hidden="false" outlineLevel="0" max="13" min="13" style="0" width="20"/>
    <col collapsed="false" customWidth="true" hidden="false" outlineLevel="0" max="14" min="14" style="0" width="12"/>
    <col collapsed="false" customWidth="true" hidden="false" outlineLevel="0" max="15" min="15" style="0" width="8"/>
    <col collapsed="false" customWidth="true" hidden="false" outlineLevel="0" max="16" min="16" style="0" width="16"/>
    <col collapsed="false" customWidth="true" hidden="false" outlineLevel="0" max="17" min="17" style="0" width="10"/>
    <col collapsed="false" customWidth="true" hidden="false" outlineLevel="0" max="18" min="18" style="0" width="24"/>
    <col collapsed="false" customWidth="true" hidden="false" outlineLevel="0" max="19" min="19" style="0" width="22"/>
    <col collapsed="false" customWidth="true" hidden="false" outlineLevel="0" max="20" min="20" style="0" width="14"/>
    <col collapsed="false" customWidth="true" hidden="false" outlineLevel="0" max="21" min="21" style="0" width="20"/>
    <col collapsed="false" customWidth="true" hidden="false" outlineLevel="0" max="22" min="22" style="0" width="8"/>
    <col collapsed="false" customWidth="true" hidden="false" outlineLevel="0" max="24" min="23" style="0" width="44"/>
    <col collapsed="false" customWidth="true" hidden="false" outlineLevel="0" max="25" min="25" style="0" width="36"/>
    <col collapsed="false" customWidth="true" hidden="false" outlineLevel="0" max="26" min="26" style="0" width="26"/>
    <col collapsed="false" customWidth="true" hidden="false" outlineLevel="0" max="27" min="27" style="0" width="30"/>
    <col collapsed="false" customWidth="true" hidden="false" outlineLevel="0" max="28" min="28" style="0" width="26"/>
    <col collapsed="false" customWidth="true" hidden="false" outlineLevel="0" max="29" min="29" style="0" width="30"/>
    <col collapsed="false" customWidth="true" hidden="false" outlineLevel="0" max="30" min="30" style="0" width="26"/>
    <col collapsed="false" customWidth="true" hidden="false" outlineLevel="0" max="31" min="31" style="0" width="30"/>
    <col collapsed="false" customWidth="true" hidden="false" outlineLevel="0" max="32" min="32" style="0" width="26"/>
    <col collapsed="false" customWidth="true" hidden="false" outlineLevel="0" max="33" min="33" style="0" width="30"/>
    <col collapsed="false" customWidth="true" hidden="false" outlineLevel="0" max="34" min="34" style="0" width="26"/>
    <col collapsed="false" customWidth="true" hidden="false" outlineLevel="0" max="35" min="35" style="0" width="30"/>
    <col collapsed="false" customWidth="true" hidden="false" outlineLevel="0" max="36" min="36" style="0" width="26"/>
    <col collapsed="false" customWidth="true" hidden="false" outlineLevel="0" max="37" min="37" style="0" width="30"/>
    <col collapsed="false" customWidth="true" hidden="false" outlineLevel="0" max="38" min="38" style="0" width="26"/>
    <col collapsed="false" customWidth="true" hidden="false" outlineLevel="0" max="39" min="39" style="0" width="30"/>
    <col collapsed="false" customWidth="true" hidden="false" outlineLevel="0" max="40" min="40" style="0" width="26"/>
    <col collapsed="false" customWidth="true" hidden="false" outlineLevel="0" max="41" min="41" style="0" width="30"/>
    <col collapsed="false" customWidth="true" hidden="false" outlineLevel="0" max="42" min="42" style="0" width="12"/>
  </cols>
  <sheetData>
    <row r="1" customFormat="false" ht="31.5" hidden="false" customHeight="true" outlineLevel="0" collapsed="false">
      <c r="A1" s="4" t="s">
        <v>1048</v>
      </c>
      <c r="B1" s="4" t="s">
        <v>1049</v>
      </c>
      <c r="C1" s="4" t="s">
        <v>1050</v>
      </c>
      <c r="D1" s="4" t="s">
        <v>1051</v>
      </c>
      <c r="E1" s="4" t="s">
        <v>1052</v>
      </c>
      <c r="F1" s="4" t="s">
        <v>1053</v>
      </c>
      <c r="G1" s="4" t="s">
        <v>1054</v>
      </c>
      <c r="H1" s="4" t="s">
        <v>1055</v>
      </c>
      <c r="I1" s="4" t="s">
        <v>1056</v>
      </c>
      <c r="J1" s="4" t="s">
        <v>1057</v>
      </c>
      <c r="K1" s="4" t="s">
        <v>1058</v>
      </c>
      <c r="L1" s="4" t="s">
        <v>412</v>
      </c>
      <c r="M1" s="4" t="s">
        <v>1059</v>
      </c>
      <c r="N1" s="4" t="s">
        <v>1060</v>
      </c>
      <c r="O1" s="4" t="s">
        <v>409</v>
      </c>
      <c r="P1" s="4" t="s">
        <v>1061</v>
      </c>
      <c r="Q1" s="4" t="s">
        <v>405</v>
      </c>
      <c r="R1" s="4" t="s">
        <v>1062</v>
      </c>
      <c r="S1" s="4" t="s">
        <v>1063</v>
      </c>
      <c r="T1" s="4" t="s">
        <v>1064</v>
      </c>
      <c r="U1" s="4" t="s">
        <v>1065</v>
      </c>
      <c r="V1" s="4" t="s">
        <v>1066</v>
      </c>
      <c r="W1" s="4" t="s">
        <v>1067</v>
      </c>
      <c r="X1" s="4" t="s">
        <v>1068</v>
      </c>
      <c r="Y1" s="4" t="s">
        <v>1069</v>
      </c>
      <c r="Z1" s="4" t="s">
        <v>1070</v>
      </c>
      <c r="AA1" s="4" t="s">
        <v>1071</v>
      </c>
      <c r="AB1" s="4" t="s">
        <v>1072</v>
      </c>
      <c r="AC1" s="4" t="s">
        <v>1073</v>
      </c>
      <c r="AD1" s="4" t="s">
        <v>1074</v>
      </c>
      <c r="AE1" s="4" t="s">
        <v>1075</v>
      </c>
      <c r="AF1" s="4" t="s">
        <v>1076</v>
      </c>
      <c r="AG1" s="4" t="s">
        <v>1077</v>
      </c>
      <c r="AH1" s="4" t="s">
        <v>1078</v>
      </c>
      <c r="AI1" s="4" t="s">
        <v>1079</v>
      </c>
      <c r="AJ1" s="4" t="s">
        <v>1080</v>
      </c>
      <c r="AK1" s="4" t="s">
        <v>1081</v>
      </c>
      <c r="AL1" s="4" t="s">
        <v>1082</v>
      </c>
      <c r="AM1" s="4" t="s">
        <v>1083</v>
      </c>
      <c r="AN1" s="4" t="s">
        <v>1084</v>
      </c>
      <c r="AO1" s="4" t="s">
        <v>1085</v>
      </c>
      <c r="AP1" s="4" t="s">
        <v>27</v>
      </c>
    </row>
    <row r="2" customFormat="false" ht="63.75" hidden="false" customHeight="true" outlineLevel="0" collapsed="false">
      <c r="A2" s="7" t="s">
        <v>1086</v>
      </c>
      <c r="B2" s="7" t="s">
        <v>443</v>
      </c>
      <c r="C2" s="7"/>
      <c r="D2" s="7"/>
      <c r="E2" s="7" t="s">
        <v>1087</v>
      </c>
      <c r="F2" s="7" t="s">
        <v>1088</v>
      </c>
      <c r="G2" s="7" t="s">
        <v>1089</v>
      </c>
      <c r="H2" s="7"/>
      <c r="I2" s="7"/>
      <c r="J2" s="7" t="s">
        <v>1090</v>
      </c>
      <c r="K2" s="7" t="s">
        <v>336</v>
      </c>
      <c r="L2" s="7" t="s">
        <v>1091</v>
      </c>
      <c r="M2" s="7" t="s">
        <v>1092</v>
      </c>
      <c r="N2" s="7"/>
      <c r="O2" s="7"/>
      <c r="P2" s="7" t="s">
        <v>1093</v>
      </c>
      <c r="Q2" s="7"/>
      <c r="R2" s="7" t="s">
        <v>1094</v>
      </c>
      <c r="S2" s="7" t="s">
        <v>1095</v>
      </c>
      <c r="T2" s="7" t="s">
        <v>1096</v>
      </c>
      <c r="U2" s="7"/>
      <c r="V2" s="7" t="s">
        <v>1097</v>
      </c>
      <c r="W2" s="7"/>
      <c r="X2" s="7"/>
      <c r="Y2" s="7"/>
      <c r="Z2" s="7" t="s">
        <v>1098</v>
      </c>
      <c r="AA2" s="7"/>
      <c r="AB2" s="7"/>
      <c r="AC2" s="7"/>
      <c r="AD2" s="7"/>
      <c r="AE2" s="7"/>
      <c r="AF2" s="7"/>
      <c r="AG2" s="7"/>
      <c r="AH2" s="7"/>
      <c r="AI2" s="7"/>
      <c r="AJ2" s="7"/>
      <c r="AK2" s="7"/>
      <c r="AL2" s="7"/>
      <c r="AM2" s="7"/>
      <c r="AN2" s="7"/>
      <c r="AO2" s="7"/>
      <c r="AP2" s="7" t="s">
        <v>182</v>
      </c>
    </row>
    <row r="3" customFormat="false" ht="48" hidden="false" customHeight="true" outlineLevel="0" collapsed="false">
      <c r="A3" s="10" t="s">
        <v>577</v>
      </c>
      <c r="B3" s="10" t="n">
        <v>1</v>
      </c>
      <c r="C3" s="10" t="n">
        <v>1</v>
      </c>
      <c r="D3" s="10" t="s">
        <v>580</v>
      </c>
      <c r="E3" s="10" t="n">
        <v>3990</v>
      </c>
      <c r="F3" s="10" t="n">
        <v>68</v>
      </c>
      <c r="G3" s="10" t="s">
        <v>1099</v>
      </c>
      <c r="H3" s="10" t="s">
        <v>1100</v>
      </c>
      <c r="I3" s="10" t="s">
        <v>1101</v>
      </c>
      <c r="J3" s="10" t="n">
        <v>24</v>
      </c>
      <c r="K3" s="11" t="str">
        <f aca="false">IF(J3="","",IF(J3&gt;=33,"A+",IF(J3&gt;=30,"A",IF(J3&gt;=27,"B",IF(J3&gt;=24,"C",IF(J3&gt;=21,"D","below D"))))))</f>
        <v>C</v>
      </c>
      <c r="L3" s="10" t="s">
        <v>1102</v>
      </c>
      <c r="M3" s="10" t="s">
        <v>1103</v>
      </c>
      <c r="N3" s="10" t="s">
        <v>1104</v>
      </c>
      <c r="O3" s="10" t="n">
        <v>280</v>
      </c>
      <c r="P3" s="10" t="s">
        <v>1105</v>
      </c>
      <c r="Q3" s="10" t="s">
        <v>579</v>
      </c>
      <c r="R3" s="10" t="s">
        <v>1106</v>
      </c>
      <c r="S3" s="10" t="s">
        <v>1107</v>
      </c>
      <c r="T3" s="10" t="s">
        <v>1108</v>
      </c>
      <c r="U3" s="10" t="s">
        <v>1109</v>
      </c>
      <c r="V3" s="10" t="s">
        <v>192</v>
      </c>
      <c r="W3" s="10" t="s">
        <v>1110</v>
      </c>
      <c r="X3" s="10" t="s">
        <v>1111</v>
      </c>
      <c r="Y3" s="10" t="s">
        <v>1112</v>
      </c>
      <c r="Z3" s="10" t="s">
        <v>876</v>
      </c>
      <c r="AA3" s="10" t="s">
        <v>349</v>
      </c>
      <c r="AB3" s="10" t="s">
        <v>1113</v>
      </c>
      <c r="AC3" s="10" t="s">
        <v>349</v>
      </c>
      <c r="AD3" s="10" t="s">
        <v>1114</v>
      </c>
      <c r="AE3" s="10" t="s">
        <v>349</v>
      </c>
      <c r="AF3" s="10" t="s">
        <v>1115</v>
      </c>
      <c r="AG3" s="10" t="s">
        <v>349</v>
      </c>
      <c r="AH3" s="10" t="s">
        <v>1116</v>
      </c>
      <c r="AI3" s="10" t="s">
        <v>349</v>
      </c>
      <c r="AJ3" s="10" t="s">
        <v>1117</v>
      </c>
      <c r="AK3" s="10" t="s">
        <v>349</v>
      </c>
      <c r="AL3" s="10" t="s">
        <v>1118</v>
      </c>
      <c r="AM3" s="10" t="s">
        <v>349</v>
      </c>
      <c r="AN3" s="10" t="s">
        <v>1119</v>
      </c>
      <c r="AO3" s="10" t="s">
        <v>349</v>
      </c>
      <c r="AP3" s="10" t="s">
        <v>56</v>
      </c>
    </row>
    <row r="4" customFormat="false" ht="27.75" hidden="false" customHeight="true" outlineLevel="0" collapsed="false">
      <c r="A4" s="11" t="s">
        <v>577</v>
      </c>
      <c r="B4" s="11" t="n">
        <v>1</v>
      </c>
      <c r="C4" s="11" t="n">
        <v>1</v>
      </c>
      <c r="D4" s="11" t="s">
        <v>580</v>
      </c>
      <c r="E4" s="18" t="n">
        <v>2740</v>
      </c>
      <c r="F4" s="12"/>
      <c r="G4" s="12"/>
      <c r="H4" s="12"/>
      <c r="I4" s="12"/>
      <c r="J4" s="11" t="n">
        <v>24</v>
      </c>
      <c r="K4" s="11" t="str">
        <f aca="false">IF(J4="","",IF(J4&gt;=33,"A+",IF(J4&gt;=30,"A",IF(J4&gt;=27,"B",IF(J4&gt;=24,"C",IF(J4&gt;=21,"D","below D"))))))</f>
        <v>C</v>
      </c>
      <c r="L4" s="11" t="s">
        <v>1120</v>
      </c>
      <c r="M4" s="11" t="s">
        <v>1121</v>
      </c>
      <c r="N4" s="12"/>
      <c r="O4" s="11" t="n">
        <v>280</v>
      </c>
      <c r="P4" s="11" t="s">
        <v>1122</v>
      </c>
      <c r="Q4" s="11" t="s">
        <v>579</v>
      </c>
      <c r="R4" s="18" t="s">
        <v>1123</v>
      </c>
      <c r="S4" s="11" t="s">
        <v>1107</v>
      </c>
      <c r="T4" s="18" t="s">
        <v>1124</v>
      </c>
      <c r="U4" s="12"/>
      <c r="V4" s="12"/>
      <c r="W4" s="12"/>
      <c r="X4" s="12"/>
      <c r="Y4" s="12"/>
      <c r="Z4" s="12"/>
      <c r="AA4" s="12"/>
      <c r="AB4" s="12"/>
      <c r="AC4" s="12"/>
      <c r="AD4" s="12"/>
      <c r="AE4" s="12"/>
      <c r="AF4" s="12"/>
      <c r="AG4" s="12"/>
      <c r="AH4" s="12"/>
      <c r="AI4" s="12"/>
      <c r="AJ4" s="12"/>
      <c r="AK4" s="12"/>
      <c r="AL4" s="12"/>
      <c r="AM4" s="12"/>
      <c r="AN4" s="12"/>
      <c r="AO4" s="12"/>
      <c r="AP4" s="11" t="s">
        <v>46</v>
      </c>
    </row>
    <row r="5" customFormat="false" ht="23.85" hidden="false" customHeight="false" outlineLevel="0" collapsed="false">
      <c r="A5" s="11" t="s">
        <v>590</v>
      </c>
      <c r="B5" s="11" t="n">
        <v>2</v>
      </c>
      <c r="C5" s="11" t="n">
        <v>2</v>
      </c>
      <c r="D5" s="12"/>
      <c r="E5" s="12"/>
      <c r="F5" s="12"/>
      <c r="G5" s="12"/>
      <c r="H5" s="12"/>
      <c r="I5" s="12"/>
      <c r="J5" s="12"/>
      <c r="K5" s="11" t="str">
        <f aca="false">IF(J5="","",IF(J5&gt;=33,"A+",IF(J5&gt;=30,"A",IF(J5&gt;=27,"B",IF(J5&gt;=24,"C",IF(J5&gt;=21,"D","below D"))))))</f>
        <v/>
      </c>
      <c r="L5" s="12"/>
      <c r="M5" s="11" t="s">
        <v>1125</v>
      </c>
      <c r="N5" s="12"/>
      <c r="O5" s="12"/>
      <c r="P5" s="18" t="s">
        <v>1126</v>
      </c>
      <c r="Q5" s="12"/>
      <c r="R5" s="12"/>
      <c r="S5" s="12"/>
      <c r="T5" s="12"/>
      <c r="U5" s="12"/>
      <c r="V5" s="12"/>
      <c r="W5" s="12"/>
      <c r="X5" s="12"/>
      <c r="Y5" s="12"/>
      <c r="Z5" s="12"/>
      <c r="AA5" s="12"/>
      <c r="AB5" s="12"/>
      <c r="AC5" s="12"/>
      <c r="AD5" s="12"/>
      <c r="AE5" s="12"/>
      <c r="AF5" s="12"/>
      <c r="AG5" s="12"/>
      <c r="AH5" s="12"/>
      <c r="AI5" s="12"/>
      <c r="AJ5" s="12"/>
      <c r="AK5" s="12"/>
      <c r="AL5" s="12"/>
      <c r="AM5" s="12"/>
      <c r="AN5" s="12"/>
      <c r="AO5" s="12"/>
      <c r="AP5" s="11" t="s">
        <v>46</v>
      </c>
    </row>
    <row r="6" customFormat="false" ht="68.65" hidden="false" customHeight="false" outlineLevel="0" collapsed="false">
      <c r="A6" s="11" t="s">
        <v>599</v>
      </c>
      <c r="B6" s="11" t="s">
        <v>1127</v>
      </c>
      <c r="C6" s="12"/>
      <c r="D6" s="12"/>
      <c r="E6" s="18" t="n">
        <v>15000</v>
      </c>
      <c r="F6" s="12"/>
      <c r="G6" s="18" t="s">
        <v>1128</v>
      </c>
      <c r="H6" s="18" t="s">
        <v>1129</v>
      </c>
      <c r="I6" s="12"/>
      <c r="J6" s="11" t="n">
        <v>25.9</v>
      </c>
      <c r="K6" s="11" t="str">
        <f aca="false">IF(J6="","",IF(J6&gt;=33,"A+",IF(J6&gt;=30,"A",IF(J6&gt;=27,"B",IF(J6&gt;=24,"C",IF(J6&gt;=21,"D","below D"))))))</f>
        <v>C</v>
      </c>
      <c r="L6" s="12"/>
      <c r="M6" s="11" t="s">
        <v>1130</v>
      </c>
      <c r="N6" s="12"/>
      <c r="O6" s="12"/>
      <c r="P6" s="18" t="s">
        <v>1131</v>
      </c>
      <c r="Q6" s="12"/>
      <c r="R6" s="12"/>
      <c r="S6" s="12"/>
      <c r="T6" s="12"/>
      <c r="U6" s="12"/>
      <c r="V6" s="12"/>
      <c r="W6" s="12"/>
      <c r="X6" s="12"/>
      <c r="Y6" s="12"/>
      <c r="Z6" s="12"/>
      <c r="AA6" s="12"/>
      <c r="AB6" s="12"/>
      <c r="AC6" s="12"/>
      <c r="AD6" s="12"/>
      <c r="AE6" s="12"/>
      <c r="AF6" s="12"/>
      <c r="AG6" s="12"/>
      <c r="AH6" s="12"/>
      <c r="AI6" s="12"/>
      <c r="AJ6" s="12"/>
      <c r="AK6" s="12"/>
      <c r="AL6" s="12"/>
      <c r="AM6" s="12"/>
      <c r="AN6" s="12"/>
      <c r="AO6" s="12"/>
      <c r="AP6" s="11" t="s">
        <v>46</v>
      </c>
    </row>
    <row r="7" customFormat="false" ht="15" hidden="false" customHeight="false" outlineLevel="0" collapsed="false">
      <c r="A7" s="12"/>
      <c r="B7" s="12"/>
      <c r="C7" s="12"/>
      <c r="D7" s="12"/>
      <c r="E7" s="12"/>
      <c r="F7" s="12"/>
      <c r="G7" s="12"/>
      <c r="H7" s="12"/>
      <c r="I7" s="12"/>
      <c r="J7" s="12"/>
      <c r="K7" s="11" t="str">
        <f aca="false">IF(J7="","",IF(J7&gt;=33,"A+",IF(J7&gt;=30,"A",IF(J7&gt;=27,"B",IF(J7&gt;=24,"C",IF(J7&gt;=21,"D","below D"))))))</f>
        <v/>
      </c>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row>
    <row r="8" customFormat="false" ht="15" hidden="false" customHeight="false" outlineLevel="0" collapsed="false">
      <c r="A8" s="12"/>
      <c r="B8" s="12"/>
      <c r="C8" s="12"/>
      <c r="D8" s="12"/>
      <c r="E8" s="12"/>
      <c r="F8" s="12"/>
      <c r="G8" s="12"/>
      <c r="H8" s="12"/>
      <c r="I8" s="12"/>
      <c r="J8" s="12"/>
      <c r="K8" s="11" t="str">
        <f aca="false">IF(J8="","",IF(J8&gt;=33,"A+",IF(J8&gt;=30,"A",IF(J8&gt;=27,"B",IF(J8&gt;=24,"C",IF(J8&gt;=21,"D","below D"))))))</f>
        <v/>
      </c>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row>
    <row r="9" customFormat="false" ht="15" hidden="false" customHeight="false" outlineLevel="0" collapsed="false">
      <c r="A9" s="12"/>
      <c r="B9" s="12"/>
      <c r="C9" s="12"/>
      <c r="D9" s="12"/>
      <c r="E9" s="12"/>
      <c r="F9" s="12"/>
      <c r="G9" s="12"/>
      <c r="H9" s="12"/>
      <c r="I9" s="12"/>
      <c r="J9" s="12"/>
      <c r="K9" s="11" t="str">
        <f aca="false">IF(J9="","",IF(J9&gt;=33,"A+",IF(J9&gt;=30,"A",IF(J9&gt;=27,"B",IF(J9&gt;=24,"C",IF(J9&gt;=21,"D","below D"))))))</f>
        <v/>
      </c>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row>
    <row r="10" customFormat="false" ht="15" hidden="false" customHeight="false" outlineLevel="0" collapsed="false">
      <c r="A10" s="12"/>
      <c r="B10" s="12"/>
      <c r="C10" s="12"/>
      <c r="D10" s="12"/>
      <c r="E10" s="12"/>
      <c r="F10" s="12"/>
      <c r="G10" s="12"/>
      <c r="H10" s="12"/>
      <c r="I10" s="12"/>
      <c r="J10" s="12"/>
      <c r="K10" s="11" t="str">
        <f aca="false">IF(J10="","",IF(J10&gt;=33,"A+",IF(J10&gt;=30,"A",IF(J10&gt;=27,"B",IF(J10&gt;=24,"C",IF(J10&gt;=21,"D","below D"))))))</f>
        <v/>
      </c>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row>
    <row r="11" customFormat="false" ht="15" hidden="false" customHeight="false" outlineLevel="0" collapsed="false">
      <c r="A11" s="12"/>
      <c r="B11" s="12"/>
      <c r="C11" s="12"/>
      <c r="D11" s="12"/>
      <c r="E11" s="12"/>
      <c r="F11" s="12"/>
      <c r="G11" s="12"/>
      <c r="H11" s="12"/>
      <c r="I11" s="12"/>
      <c r="J11" s="12"/>
      <c r="K11" s="11" t="str">
        <f aca="false">IF(J11="","",IF(J11&gt;=33,"A+",IF(J11&gt;=30,"A",IF(J11&gt;=27,"B",IF(J11&gt;=24,"C",IF(J11&gt;=21,"D","below D"))))))</f>
        <v/>
      </c>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row>
    <row r="12" customFormat="false" ht="15" hidden="false" customHeight="false" outlineLevel="0" collapsed="false">
      <c r="A12" s="12"/>
      <c r="B12" s="12"/>
      <c r="C12" s="12"/>
      <c r="D12" s="12"/>
      <c r="E12" s="12"/>
      <c r="F12" s="12"/>
      <c r="G12" s="12"/>
      <c r="H12" s="12"/>
      <c r="I12" s="12"/>
      <c r="J12" s="12"/>
      <c r="K12" s="11" t="str">
        <f aca="false">IF(J12="","",IF(J12&gt;=33,"A+",IF(J12&gt;=30,"A",IF(J12&gt;=27,"B",IF(J12&gt;=24,"C",IF(J12&gt;=21,"D","below D"))))))</f>
        <v/>
      </c>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row>
    <row r="13" customFormat="false" ht="15" hidden="false" customHeight="false" outlineLevel="0" collapsed="false">
      <c r="A13" s="12"/>
      <c r="B13" s="12"/>
      <c r="C13" s="12"/>
      <c r="D13" s="12"/>
      <c r="E13" s="12"/>
      <c r="F13" s="12"/>
      <c r="G13" s="12"/>
      <c r="H13" s="12"/>
      <c r="I13" s="12"/>
      <c r="J13" s="12"/>
      <c r="K13" s="11" t="str">
        <f aca="false">IF(J13="","",IF(J13&gt;=33,"A+",IF(J13&gt;=30,"A",IF(J13&gt;=27,"B",IF(J13&gt;=24,"C",IF(J13&gt;=21,"D","below D"))))))</f>
        <v/>
      </c>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row>
    <row r="14" customFormat="false" ht="15" hidden="false" customHeight="false" outlineLevel="0" collapsed="false">
      <c r="A14" s="12"/>
      <c r="B14" s="12"/>
      <c r="C14" s="12"/>
      <c r="D14" s="12"/>
      <c r="E14" s="12"/>
      <c r="F14" s="12"/>
      <c r="G14" s="12"/>
      <c r="H14" s="12"/>
      <c r="I14" s="12"/>
      <c r="J14" s="12"/>
      <c r="K14" s="11" t="str">
        <f aca="false">IF(J14="","",IF(J14&gt;=33,"A+",IF(J14&gt;=30,"A",IF(J14&gt;=27,"B",IF(J14&gt;=24,"C",IF(J14&gt;=21,"D","below D"))))))</f>
        <v/>
      </c>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row>
  </sheetData>
  <autoFilter ref="A1:AP14"/>
  <dataValidations count="2">
    <dataValidation allowBlank="true" error="Pick a value from the list" errorStyle="stop" errorTitle="Invalid value" operator="between" showDropDown="false" showErrorMessage="false" showInputMessage="false" sqref="AP3:AP14" type="list">
      <formula1>"Backlog,Briefed,Drafting,Review,Translation,Ready for dev,Live,On hold"</formula1>
      <formula2>0</formula2>
    </dataValidation>
    <dataValidation allowBlank="true" error="Pick a value from the list" errorStyle="stop" errorTitle="Invalid value" operator="between" showDropDown="false" showErrorMessage="false" showInputMessage="false" sqref="V3:V14" type="list">
      <formula1>"en,nl,fr,de,es,pt,da,sv,no,is"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E5" activeCellId="0" sqref="E5"/>
    </sheetView>
  </sheetViews>
  <sheetFormatPr defaultColWidth="8.6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7"/>
    <col collapsed="false" customWidth="true" hidden="false" outlineLevel="0" max="4" min="4" style="0" width="50"/>
    <col collapsed="false" customWidth="true" hidden="false" outlineLevel="0" max="5" min="5" style="0" width="70"/>
    <col collapsed="false" customWidth="true" hidden="false" outlineLevel="0" max="6" min="6" style="0" width="34"/>
    <col collapsed="false" customWidth="true" hidden="false" outlineLevel="0" max="7" min="7" style="0" width="8"/>
    <col collapsed="false" customWidth="true" hidden="false" outlineLevel="0" max="8" min="8" style="0" width="10"/>
    <col collapsed="false" customWidth="true" hidden="false" outlineLevel="0" max="9" min="9" style="0" width="12"/>
  </cols>
  <sheetData>
    <row r="1" customFormat="false" ht="31.5" hidden="false" customHeight="true" outlineLevel="0" collapsed="false">
      <c r="A1" s="4" t="s">
        <v>17</v>
      </c>
      <c r="B1" s="4" t="s">
        <v>1132</v>
      </c>
      <c r="C1" s="4" t="s">
        <v>290</v>
      </c>
      <c r="D1" s="4" t="s">
        <v>1133</v>
      </c>
      <c r="E1" s="4" t="s">
        <v>1134</v>
      </c>
      <c r="F1" s="4" t="s">
        <v>1135</v>
      </c>
      <c r="G1" s="4" t="s">
        <v>1136</v>
      </c>
      <c r="H1" s="4" t="s">
        <v>1137</v>
      </c>
      <c r="I1" s="4" t="s">
        <v>27</v>
      </c>
    </row>
    <row r="2" customFormat="false" ht="63.75" hidden="false" customHeight="true" outlineLevel="0" collapsed="false">
      <c r="A2" s="7" t="s">
        <v>1138</v>
      </c>
      <c r="B2" s="7" t="s">
        <v>1139</v>
      </c>
      <c r="C2" s="7"/>
      <c r="D2" s="7" t="s">
        <v>1140</v>
      </c>
      <c r="E2" s="7" t="s">
        <v>1141</v>
      </c>
      <c r="F2" s="7" t="s">
        <v>1142</v>
      </c>
      <c r="G2" s="7" t="s">
        <v>451</v>
      </c>
      <c r="H2" s="7" t="s">
        <v>336</v>
      </c>
      <c r="I2" s="7" t="s">
        <v>182</v>
      </c>
    </row>
    <row r="3" customFormat="false" ht="48" hidden="false" customHeight="true" outlineLevel="0" collapsed="false">
      <c r="A3" s="10" t="s">
        <v>1138</v>
      </c>
      <c r="B3" s="10" t="s">
        <v>69</v>
      </c>
      <c r="C3" s="10" t="s">
        <v>192</v>
      </c>
      <c r="D3" s="10" t="s">
        <v>1143</v>
      </c>
      <c r="E3" s="10" t="s">
        <v>1144</v>
      </c>
      <c r="F3" s="10" t="s">
        <v>1145</v>
      </c>
      <c r="G3" s="10" t="s">
        <v>548</v>
      </c>
      <c r="H3" s="11" t="n">
        <f aca="false">IF(E3="","",LEN(TRIM(E3))-LEN(SUBSTITUTE(TRIM(E3)," ",""))+1)</f>
        <v>29</v>
      </c>
      <c r="I3" s="10" t="s">
        <v>56</v>
      </c>
    </row>
    <row r="4" customFormat="false" ht="42" hidden="false" customHeight="true" outlineLevel="0" collapsed="false">
      <c r="A4" s="11" t="s">
        <v>1146</v>
      </c>
      <c r="B4" s="11" t="s">
        <v>69</v>
      </c>
      <c r="C4" s="11" t="s">
        <v>77</v>
      </c>
      <c r="D4" s="11" t="s">
        <v>1147</v>
      </c>
      <c r="E4" s="12" t="s">
        <v>1148</v>
      </c>
      <c r="F4" s="11" t="s">
        <v>1149</v>
      </c>
      <c r="G4" s="11" t="s">
        <v>548</v>
      </c>
      <c r="H4" s="11" t="n">
        <f aca="false">IF(E4="","",LEN(TRIM(E4))-LEN(SUBSTITUTE(TRIM(E4)," ",""))+1)</f>
        <v>44</v>
      </c>
      <c r="I4" s="11" t="s">
        <v>46</v>
      </c>
    </row>
    <row r="5" customFormat="false" ht="55.5" hidden="false" customHeight="true" outlineLevel="0" collapsed="false">
      <c r="A5" s="11" t="s">
        <v>1150</v>
      </c>
      <c r="B5" s="11" t="s">
        <v>69</v>
      </c>
      <c r="C5" s="11" t="s">
        <v>77</v>
      </c>
      <c r="D5" s="11" t="s">
        <v>1151</v>
      </c>
      <c r="E5" s="12" t="s">
        <v>1152</v>
      </c>
      <c r="F5" s="11" t="s">
        <v>1153</v>
      </c>
      <c r="G5" s="11" t="s">
        <v>548</v>
      </c>
      <c r="H5" s="11" t="n">
        <f aca="false">IF(E5="","",LEN(TRIM(E5))-LEN(SUBSTITUTE(TRIM(E5)," ",""))+1)</f>
        <v>53</v>
      </c>
      <c r="I5" s="11" t="s">
        <v>46</v>
      </c>
    </row>
    <row r="6" customFormat="false" ht="15" hidden="false" customHeight="false" outlineLevel="0" collapsed="false">
      <c r="A6" s="11" t="s">
        <v>1154</v>
      </c>
      <c r="B6" s="11" t="s">
        <v>69</v>
      </c>
      <c r="C6" s="11" t="s">
        <v>77</v>
      </c>
      <c r="D6" s="11" t="s">
        <v>1155</v>
      </c>
      <c r="E6" s="12"/>
      <c r="F6" s="11" t="s">
        <v>1153</v>
      </c>
      <c r="G6" s="11" t="s">
        <v>548</v>
      </c>
      <c r="H6" s="11" t="str">
        <f aca="false">IF(E6="","",LEN(TRIM(E6))-LEN(SUBSTITUTE(TRIM(E6)," ",""))+1)</f>
        <v/>
      </c>
      <c r="I6" s="11" t="s">
        <v>46</v>
      </c>
    </row>
    <row r="7" customFormat="false" ht="42" hidden="false" customHeight="true" outlineLevel="0" collapsed="false">
      <c r="A7" s="11" t="s">
        <v>1156</v>
      </c>
      <c r="B7" s="11" t="s">
        <v>69</v>
      </c>
      <c r="C7" s="11" t="s">
        <v>77</v>
      </c>
      <c r="D7" s="11" t="s">
        <v>1157</v>
      </c>
      <c r="E7" s="12" t="s">
        <v>1158</v>
      </c>
      <c r="F7" s="11" t="s">
        <v>378</v>
      </c>
      <c r="G7" s="11" t="s">
        <v>548</v>
      </c>
      <c r="H7" s="11" t="n">
        <f aca="false">IF(E7="","",LEN(TRIM(E7))-LEN(SUBSTITUTE(TRIM(E7)," ",""))+1)</f>
        <v>35</v>
      </c>
      <c r="I7" s="11" t="s">
        <v>46</v>
      </c>
    </row>
    <row r="8" customFormat="false" ht="15" hidden="false" customHeight="false" outlineLevel="0" collapsed="false">
      <c r="A8" s="11" t="s">
        <v>1159</v>
      </c>
      <c r="B8" s="11" t="s">
        <v>69</v>
      </c>
      <c r="C8" s="11" t="s">
        <v>77</v>
      </c>
      <c r="D8" s="11" t="s">
        <v>1160</v>
      </c>
      <c r="E8" s="12" t="s">
        <v>1161</v>
      </c>
      <c r="F8" s="11" t="s">
        <v>378</v>
      </c>
      <c r="G8" s="11" t="s">
        <v>548</v>
      </c>
      <c r="H8" s="11" t="n">
        <f aca="false">IF(E8="","",LEN(TRIM(E8))-LEN(SUBSTITUTE(TRIM(E8)," ",""))+1)</f>
        <v>15</v>
      </c>
      <c r="I8" s="11" t="s">
        <v>46</v>
      </c>
    </row>
    <row r="9" customFormat="false" ht="15" hidden="false" customHeight="false" outlineLevel="0" collapsed="false">
      <c r="A9" s="11" t="s">
        <v>1162</v>
      </c>
      <c r="B9" s="11" t="s">
        <v>69</v>
      </c>
      <c r="C9" s="11" t="s">
        <v>77</v>
      </c>
      <c r="D9" s="11" t="s">
        <v>1163</v>
      </c>
      <c r="E9" s="12" t="s">
        <v>1164</v>
      </c>
      <c r="F9" s="11" t="s">
        <v>1165</v>
      </c>
      <c r="G9" s="11" t="s">
        <v>548</v>
      </c>
      <c r="H9" s="11" t="n">
        <f aca="false">IF(E9="","",LEN(TRIM(E9))-LEN(SUBSTITUTE(TRIM(E9)," ",""))+1)</f>
        <v>16</v>
      </c>
      <c r="I9" s="11" t="s">
        <v>46</v>
      </c>
    </row>
    <row r="10" customFormat="false" ht="27.75" hidden="false" customHeight="true" outlineLevel="0" collapsed="false">
      <c r="A10" s="11" t="s">
        <v>1166</v>
      </c>
      <c r="B10" s="11" t="s">
        <v>69</v>
      </c>
      <c r="C10" s="11" t="s">
        <v>77</v>
      </c>
      <c r="D10" s="11" t="s">
        <v>1167</v>
      </c>
      <c r="E10" s="12" t="s">
        <v>1168</v>
      </c>
      <c r="F10" s="11" t="s">
        <v>378</v>
      </c>
      <c r="G10" s="11" t="s">
        <v>548</v>
      </c>
      <c r="H10" s="11" t="n">
        <f aca="false">IF(E10="","",LEN(TRIM(E10))-LEN(SUBSTITUTE(TRIM(E10)," ",""))+1)</f>
        <v>22</v>
      </c>
      <c r="I10" s="11" t="s">
        <v>46</v>
      </c>
    </row>
    <row r="11" customFormat="false" ht="15" hidden="false" customHeight="false" outlineLevel="0" collapsed="false">
      <c r="A11" s="11" t="s">
        <v>1169</v>
      </c>
      <c r="B11" s="11" t="s">
        <v>69</v>
      </c>
      <c r="C11" s="11" t="s">
        <v>77</v>
      </c>
      <c r="D11" s="11" t="s">
        <v>1170</v>
      </c>
      <c r="E11" s="12" t="s">
        <v>1171</v>
      </c>
      <c r="F11" s="11" t="s">
        <v>598</v>
      </c>
      <c r="G11" s="11" t="s">
        <v>548</v>
      </c>
      <c r="H11" s="11" t="n">
        <f aca="false">IF(E11="","",LEN(TRIM(E11))-LEN(SUBSTITUTE(TRIM(E11)," ",""))+1)</f>
        <v>15</v>
      </c>
      <c r="I11" s="11" t="s">
        <v>46</v>
      </c>
    </row>
    <row r="12" customFormat="false" ht="42" hidden="false" customHeight="true" outlineLevel="0" collapsed="false">
      <c r="A12" s="11" t="s">
        <v>1172</v>
      </c>
      <c r="B12" s="11" t="s">
        <v>69</v>
      </c>
      <c r="C12" s="11" t="s">
        <v>77</v>
      </c>
      <c r="D12" s="11" t="s">
        <v>1173</v>
      </c>
      <c r="E12" s="12" t="s">
        <v>1174</v>
      </c>
      <c r="F12" s="11" t="s">
        <v>378</v>
      </c>
      <c r="G12" s="11" t="s">
        <v>548</v>
      </c>
      <c r="H12" s="11" t="n">
        <f aca="false">IF(E12="","",LEN(TRIM(E12))-LEN(SUBSTITUTE(TRIM(E12)," ",""))+1)</f>
        <v>13</v>
      </c>
      <c r="I12" s="11" t="s">
        <v>46</v>
      </c>
    </row>
    <row r="13" customFormat="false" ht="27.75" hidden="false" customHeight="true" outlineLevel="0" collapsed="false">
      <c r="A13" s="11" t="s">
        <v>1175</v>
      </c>
      <c r="B13" s="11" t="s">
        <v>69</v>
      </c>
      <c r="C13" s="11" t="s">
        <v>77</v>
      </c>
      <c r="D13" s="11" t="s">
        <v>1176</v>
      </c>
      <c r="E13" s="12" t="s">
        <v>1177</v>
      </c>
      <c r="F13" s="11" t="s">
        <v>1178</v>
      </c>
      <c r="G13" s="11" t="s">
        <v>548</v>
      </c>
      <c r="H13" s="11" t="n">
        <f aca="false">IF(E13="","",LEN(TRIM(E13))-LEN(SUBSTITUTE(TRIM(E13)," ",""))+1)</f>
        <v>19</v>
      </c>
      <c r="I13" s="11" t="s">
        <v>46</v>
      </c>
    </row>
    <row r="14" customFormat="false" ht="27.75" hidden="false" customHeight="true" outlineLevel="0" collapsed="false">
      <c r="A14" s="11" t="s">
        <v>1179</v>
      </c>
      <c r="B14" s="11" t="s">
        <v>50</v>
      </c>
      <c r="C14" s="11" t="s">
        <v>77</v>
      </c>
      <c r="D14" s="11" t="s">
        <v>1180</v>
      </c>
      <c r="E14" s="12" t="s">
        <v>1181</v>
      </c>
      <c r="F14" s="11" t="s">
        <v>357</v>
      </c>
      <c r="G14" s="11" t="s">
        <v>548</v>
      </c>
      <c r="H14" s="11" t="n">
        <f aca="false">IF(E14="","",LEN(TRIM(E14))-LEN(SUBSTITUTE(TRIM(E14)," ",""))+1)</f>
        <v>25</v>
      </c>
      <c r="I14" s="11" t="s">
        <v>46</v>
      </c>
    </row>
    <row r="15" customFormat="false" ht="69.75" hidden="false" customHeight="true" outlineLevel="0" collapsed="false">
      <c r="A15" s="11" t="s">
        <v>1182</v>
      </c>
      <c r="B15" s="11" t="s">
        <v>50</v>
      </c>
      <c r="C15" s="11" t="s">
        <v>77</v>
      </c>
      <c r="D15" s="11" t="s">
        <v>1183</v>
      </c>
      <c r="E15" s="12" t="s">
        <v>1184</v>
      </c>
      <c r="F15" s="11" t="s">
        <v>1185</v>
      </c>
      <c r="G15" s="11" t="s">
        <v>548</v>
      </c>
      <c r="H15" s="11" t="n">
        <f aca="false">IF(E15="","",LEN(TRIM(E15))-LEN(SUBSTITUTE(TRIM(E15)," ",""))+1)</f>
        <v>68</v>
      </c>
      <c r="I15" s="11" t="s">
        <v>46</v>
      </c>
    </row>
    <row r="16" customFormat="false" ht="15" hidden="false" customHeight="false" outlineLevel="0" collapsed="false">
      <c r="A16" s="11" t="s">
        <v>1186</v>
      </c>
      <c r="B16" s="11" t="s">
        <v>50</v>
      </c>
      <c r="C16" s="11" t="s">
        <v>77</v>
      </c>
      <c r="D16" s="11" t="s">
        <v>1187</v>
      </c>
      <c r="E16" s="12"/>
      <c r="F16" s="11" t="s">
        <v>357</v>
      </c>
      <c r="G16" s="11" t="s">
        <v>548</v>
      </c>
      <c r="H16" s="11" t="str">
        <f aca="false">IF(E16="","",LEN(TRIM(E16))-LEN(SUBSTITUTE(TRIM(E16)," ",""))+1)</f>
        <v/>
      </c>
      <c r="I16" s="11" t="s">
        <v>46</v>
      </c>
    </row>
    <row r="17" customFormat="false" ht="84" hidden="false" customHeight="true" outlineLevel="0" collapsed="false">
      <c r="A17" s="11" t="s">
        <v>1188</v>
      </c>
      <c r="B17" s="11" t="s">
        <v>63</v>
      </c>
      <c r="C17" s="11" t="s">
        <v>77</v>
      </c>
      <c r="D17" s="11" t="s">
        <v>1189</v>
      </c>
      <c r="E17" s="12" t="s">
        <v>1190</v>
      </c>
      <c r="F17" s="11" t="s">
        <v>366</v>
      </c>
      <c r="G17" s="11" t="s">
        <v>548</v>
      </c>
      <c r="H17" s="11" t="n">
        <f aca="false">IF(E17="","",LEN(TRIM(E17))-LEN(SUBSTITUTE(TRIM(E17)," ",""))+1)</f>
        <v>79</v>
      </c>
      <c r="I17" s="11" t="s">
        <v>46</v>
      </c>
    </row>
    <row r="18" customFormat="false" ht="15" hidden="false" customHeight="false" outlineLevel="0" collapsed="false">
      <c r="A18" s="11" t="s">
        <v>1191</v>
      </c>
      <c r="B18" s="11" t="s">
        <v>63</v>
      </c>
      <c r="C18" s="11" t="s">
        <v>77</v>
      </c>
      <c r="D18" s="11" t="s">
        <v>1192</v>
      </c>
      <c r="E18" s="12" t="s">
        <v>1193</v>
      </c>
      <c r="F18" s="11" t="s">
        <v>366</v>
      </c>
      <c r="G18" s="11" t="s">
        <v>548</v>
      </c>
      <c r="H18" s="11" t="n">
        <f aca="false">IF(E18="","",LEN(TRIM(E18))-LEN(SUBSTITUTE(TRIM(E18)," ",""))+1)</f>
        <v>6</v>
      </c>
      <c r="I18" s="11" t="s">
        <v>46</v>
      </c>
    </row>
    <row r="19" customFormat="false" ht="42" hidden="false" customHeight="true" outlineLevel="0" collapsed="false">
      <c r="A19" s="11" t="s">
        <v>1194</v>
      </c>
      <c r="B19" s="11" t="s">
        <v>76</v>
      </c>
      <c r="C19" s="11" t="s">
        <v>77</v>
      </c>
      <c r="D19" s="11" t="s">
        <v>1195</v>
      </c>
      <c r="E19" s="12" t="s">
        <v>1196</v>
      </c>
      <c r="F19" s="11" t="s">
        <v>1197</v>
      </c>
      <c r="G19" s="11" t="s">
        <v>548</v>
      </c>
      <c r="H19" s="11" t="n">
        <f aca="false">IF(E19="","",LEN(TRIM(E19))-LEN(SUBSTITUTE(TRIM(E19)," ",""))+1)</f>
        <v>30</v>
      </c>
      <c r="I19" s="11" t="s">
        <v>46</v>
      </c>
    </row>
    <row r="20" customFormat="false" ht="15" hidden="false" customHeight="false" outlineLevel="0" collapsed="false">
      <c r="A20" s="12"/>
      <c r="B20" s="12"/>
      <c r="C20" s="12"/>
      <c r="D20" s="12"/>
      <c r="E20" s="12"/>
      <c r="F20" s="12"/>
      <c r="G20" s="12"/>
      <c r="H20" s="11" t="str">
        <f aca="false">IF(E20="","",LEN(TRIM(E20))-LEN(SUBSTITUTE(TRIM(E20)," ",""))+1)</f>
        <v/>
      </c>
      <c r="I20" s="12"/>
    </row>
    <row r="21" customFormat="false" ht="15" hidden="false" customHeight="false" outlineLevel="0" collapsed="false">
      <c r="A21" s="12"/>
      <c r="B21" s="12"/>
      <c r="C21" s="12"/>
      <c r="D21" s="12"/>
      <c r="E21" s="12"/>
      <c r="F21" s="12"/>
      <c r="G21" s="12"/>
      <c r="H21" s="11" t="str">
        <f aca="false">IF(E21="","",LEN(TRIM(E21))-LEN(SUBSTITUTE(TRIM(E21)," ",""))+1)</f>
        <v/>
      </c>
      <c r="I21" s="12"/>
    </row>
    <row r="22" customFormat="false" ht="15" hidden="false" customHeight="false" outlineLevel="0" collapsed="false">
      <c r="A22" s="12"/>
      <c r="B22" s="12"/>
      <c r="C22" s="12"/>
      <c r="D22" s="12"/>
      <c r="E22" s="12"/>
      <c r="F22" s="12"/>
      <c r="G22" s="12"/>
      <c r="H22" s="11" t="str">
        <f aca="false">IF(E22="","",LEN(TRIM(E22))-LEN(SUBSTITUTE(TRIM(E22)," ",""))+1)</f>
        <v/>
      </c>
      <c r="I22" s="12"/>
    </row>
    <row r="23" customFormat="false" ht="15" hidden="false" customHeight="false" outlineLevel="0" collapsed="false">
      <c r="A23" s="12"/>
      <c r="B23" s="12"/>
      <c r="C23" s="12"/>
      <c r="D23" s="12"/>
      <c r="E23" s="12"/>
      <c r="F23" s="12"/>
      <c r="G23" s="12"/>
      <c r="H23" s="11" t="str">
        <f aca="false">IF(E23="","",LEN(TRIM(E23))-LEN(SUBSTITUTE(TRIM(E23)," ",""))+1)</f>
        <v/>
      </c>
      <c r="I23" s="12"/>
    </row>
    <row r="24" customFormat="false" ht="15" hidden="false" customHeight="false" outlineLevel="0" collapsed="false">
      <c r="A24" s="12"/>
      <c r="B24" s="12"/>
      <c r="C24" s="12"/>
      <c r="D24" s="12"/>
      <c r="E24" s="12"/>
      <c r="F24" s="12"/>
      <c r="G24" s="12"/>
      <c r="H24" s="11" t="str">
        <f aca="false">IF(E24="","",LEN(TRIM(E24))-LEN(SUBSTITUTE(TRIM(E24)," ",""))+1)</f>
        <v/>
      </c>
      <c r="I24" s="12"/>
    </row>
    <row r="25" customFormat="false" ht="15" hidden="false" customHeight="false" outlineLevel="0" collapsed="false">
      <c r="A25" s="12"/>
      <c r="B25" s="12"/>
      <c r="C25" s="12"/>
      <c r="D25" s="12"/>
      <c r="E25" s="12"/>
      <c r="F25" s="12"/>
      <c r="G25" s="12"/>
      <c r="H25" s="11" t="str">
        <f aca="false">IF(E25="","",LEN(TRIM(E25))-LEN(SUBSTITUTE(TRIM(E25)," ",""))+1)</f>
        <v/>
      </c>
      <c r="I25" s="12"/>
    </row>
    <row r="26" customFormat="false" ht="15" hidden="false" customHeight="false" outlineLevel="0" collapsed="false">
      <c r="A26" s="12"/>
      <c r="B26" s="12"/>
      <c r="C26" s="12"/>
      <c r="D26" s="12"/>
      <c r="E26" s="12"/>
      <c r="F26" s="12"/>
      <c r="G26" s="12"/>
      <c r="H26" s="11" t="str">
        <f aca="false">IF(E26="","",LEN(TRIM(E26))-LEN(SUBSTITUTE(TRIM(E26)," ",""))+1)</f>
        <v/>
      </c>
      <c r="I26" s="12"/>
    </row>
    <row r="27" customFormat="false" ht="15" hidden="false" customHeight="false" outlineLevel="0" collapsed="false">
      <c r="A27" s="12"/>
      <c r="B27" s="12"/>
      <c r="C27" s="12"/>
      <c r="D27" s="12"/>
      <c r="E27" s="12"/>
      <c r="F27" s="12"/>
      <c r="G27" s="12"/>
      <c r="H27" s="11" t="str">
        <f aca="false">IF(E27="","",LEN(TRIM(E27))-LEN(SUBSTITUTE(TRIM(E27)," ",""))+1)</f>
        <v/>
      </c>
      <c r="I27" s="12"/>
    </row>
    <row r="28" customFormat="false" ht="15" hidden="false" customHeight="false" outlineLevel="0" collapsed="false">
      <c r="A28" s="12"/>
      <c r="B28" s="12"/>
      <c r="C28" s="12"/>
      <c r="D28" s="12"/>
      <c r="E28" s="12"/>
      <c r="F28" s="12"/>
      <c r="G28" s="12"/>
      <c r="H28" s="11" t="str">
        <f aca="false">IF(E28="","",LEN(TRIM(E28))-LEN(SUBSTITUTE(TRIM(E28)," ",""))+1)</f>
        <v/>
      </c>
      <c r="I28" s="12"/>
    </row>
    <row r="29" customFormat="false" ht="15" hidden="false" customHeight="false" outlineLevel="0" collapsed="false">
      <c r="A29" s="12"/>
      <c r="B29" s="12"/>
      <c r="C29" s="12"/>
      <c r="D29" s="12"/>
      <c r="E29" s="12"/>
      <c r="F29" s="12"/>
      <c r="G29" s="12"/>
      <c r="H29" s="11" t="str">
        <f aca="false">IF(E29="","",LEN(TRIM(E29))-LEN(SUBSTITUTE(TRIM(E29)," ",""))+1)</f>
        <v/>
      </c>
      <c r="I29" s="12"/>
    </row>
    <row r="30" customFormat="false" ht="15" hidden="false" customHeight="false" outlineLevel="0" collapsed="false">
      <c r="A30" s="12"/>
      <c r="B30" s="12"/>
      <c r="C30" s="12"/>
      <c r="D30" s="12"/>
      <c r="E30" s="12"/>
      <c r="F30" s="12"/>
      <c r="G30" s="12"/>
      <c r="H30" s="11" t="str">
        <f aca="false">IF(E30="","",LEN(TRIM(E30))-LEN(SUBSTITUTE(TRIM(E30)," ",""))+1)</f>
        <v/>
      </c>
      <c r="I30" s="12"/>
    </row>
    <row r="31" customFormat="false" ht="15" hidden="false" customHeight="false" outlineLevel="0" collapsed="false">
      <c r="A31" s="12"/>
      <c r="B31" s="12"/>
      <c r="C31" s="12"/>
      <c r="D31" s="12"/>
      <c r="E31" s="12"/>
      <c r="F31" s="12"/>
      <c r="G31" s="12"/>
      <c r="H31" s="11" t="str">
        <f aca="false">IF(E31="","",LEN(TRIM(E31))-LEN(SUBSTITUTE(TRIM(E31)," ",""))+1)</f>
        <v/>
      </c>
      <c r="I31" s="12"/>
    </row>
    <row r="32" customFormat="false" ht="15" hidden="false" customHeight="false" outlineLevel="0" collapsed="false">
      <c r="A32" s="12"/>
      <c r="B32" s="12"/>
      <c r="C32" s="12"/>
      <c r="D32" s="12"/>
      <c r="E32" s="12"/>
      <c r="F32" s="12"/>
      <c r="G32" s="12"/>
      <c r="H32" s="11" t="str">
        <f aca="false">IF(E32="","",LEN(TRIM(E32))-LEN(SUBSTITUTE(TRIM(E32)," ",""))+1)</f>
        <v/>
      </c>
      <c r="I32" s="12"/>
    </row>
    <row r="33" customFormat="false" ht="15" hidden="false" customHeight="false" outlineLevel="0" collapsed="false">
      <c r="A33" s="12"/>
      <c r="B33" s="12"/>
      <c r="C33" s="12"/>
      <c r="D33" s="12"/>
      <c r="E33" s="12"/>
      <c r="F33" s="12"/>
      <c r="G33" s="12"/>
      <c r="H33" s="11" t="str">
        <f aca="false">IF(E33="","",LEN(TRIM(E33))-LEN(SUBSTITUTE(TRIM(E33)," ",""))+1)</f>
        <v/>
      </c>
      <c r="I33" s="12"/>
    </row>
    <row r="34" customFormat="false" ht="15" hidden="false" customHeight="false" outlineLevel="0" collapsed="false">
      <c r="A34" s="12"/>
      <c r="B34" s="12"/>
      <c r="C34" s="12"/>
      <c r="D34" s="12"/>
      <c r="E34" s="12"/>
      <c r="F34" s="12"/>
      <c r="G34" s="12"/>
      <c r="H34" s="11" t="str">
        <f aca="false">IF(E34="","",LEN(TRIM(E34))-LEN(SUBSTITUTE(TRIM(E34)," ",""))+1)</f>
        <v/>
      </c>
      <c r="I34" s="12"/>
    </row>
    <row r="35" customFormat="false" ht="15" hidden="false" customHeight="false" outlineLevel="0" collapsed="false">
      <c r="A35" s="12"/>
      <c r="B35" s="12"/>
      <c r="C35" s="12"/>
      <c r="D35" s="12"/>
      <c r="E35" s="12"/>
      <c r="F35" s="12"/>
      <c r="G35" s="12"/>
      <c r="H35" s="11" t="str">
        <f aca="false">IF(E35="","",LEN(TRIM(E35))-LEN(SUBSTITUTE(TRIM(E35)," ",""))+1)</f>
        <v/>
      </c>
      <c r="I35" s="12"/>
    </row>
    <row r="36" customFormat="false" ht="15" hidden="false" customHeight="false" outlineLevel="0" collapsed="false">
      <c r="A36" s="12"/>
      <c r="B36" s="12"/>
      <c r="C36" s="12"/>
      <c r="D36" s="12"/>
      <c r="E36" s="12"/>
      <c r="F36" s="12"/>
      <c r="G36" s="12"/>
      <c r="H36" s="11" t="str">
        <f aca="false">IF(E36="","",LEN(TRIM(E36))-LEN(SUBSTITUTE(TRIM(E36)," ",""))+1)</f>
        <v/>
      </c>
      <c r="I36" s="12"/>
    </row>
    <row r="37" customFormat="false" ht="15" hidden="false" customHeight="false" outlineLevel="0" collapsed="false">
      <c r="A37" s="12"/>
      <c r="B37" s="12"/>
      <c r="C37" s="12"/>
      <c r="D37" s="12"/>
      <c r="E37" s="12"/>
      <c r="F37" s="12"/>
      <c r="G37" s="12"/>
      <c r="H37" s="11" t="str">
        <f aca="false">IF(E37="","",LEN(TRIM(E37))-LEN(SUBSTITUTE(TRIM(E37)," ",""))+1)</f>
        <v/>
      </c>
      <c r="I37" s="12"/>
    </row>
    <row r="38" customFormat="false" ht="15" hidden="false" customHeight="false" outlineLevel="0" collapsed="false">
      <c r="A38" s="12"/>
      <c r="B38" s="12"/>
      <c r="C38" s="12"/>
      <c r="D38" s="12"/>
      <c r="E38" s="12"/>
      <c r="F38" s="12"/>
      <c r="G38" s="12"/>
      <c r="H38" s="11" t="str">
        <f aca="false">IF(E38="","",LEN(TRIM(E38))-LEN(SUBSTITUTE(TRIM(E38)," ",""))+1)</f>
        <v/>
      </c>
      <c r="I38" s="12"/>
    </row>
    <row r="39" customFormat="false" ht="15" hidden="false" customHeight="false" outlineLevel="0" collapsed="false">
      <c r="A39" s="12"/>
      <c r="B39" s="12"/>
      <c r="C39" s="12"/>
      <c r="D39" s="12"/>
      <c r="E39" s="12"/>
      <c r="F39" s="12"/>
      <c r="G39" s="12"/>
      <c r="H39" s="11" t="str">
        <f aca="false">IF(E39="","",LEN(TRIM(E39))-LEN(SUBSTITUTE(TRIM(E39)," ",""))+1)</f>
        <v/>
      </c>
      <c r="I39" s="12"/>
    </row>
    <row r="40" customFormat="false" ht="15" hidden="false" customHeight="false" outlineLevel="0" collapsed="false">
      <c r="A40" s="12"/>
      <c r="B40" s="12"/>
      <c r="C40" s="12"/>
      <c r="D40" s="12"/>
      <c r="E40" s="12"/>
      <c r="F40" s="12"/>
      <c r="G40" s="12"/>
      <c r="H40" s="11" t="str">
        <f aca="false">IF(E40="","",LEN(TRIM(E40))-LEN(SUBSTITUTE(TRIM(E40)," ",""))+1)</f>
        <v/>
      </c>
      <c r="I40" s="12"/>
    </row>
    <row r="41" customFormat="false" ht="15" hidden="false" customHeight="false" outlineLevel="0" collapsed="false">
      <c r="A41" s="12"/>
      <c r="B41" s="12"/>
      <c r="C41" s="12"/>
      <c r="D41" s="12"/>
      <c r="E41" s="12"/>
      <c r="F41" s="12"/>
      <c r="G41" s="12"/>
      <c r="H41" s="11" t="str">
        <f aca="false">IF(E41="","",LEN(TRIM(E41))-LEN(SUBSTITUTE(TRIM(E41)," ",""))+1)</f>
        <v/>
      </c>
      <c r="I41" s="12"/>
    </row>
    <row r="42" customFormat="false" ht="15" hidden="false" customHeight="false" outlineLevel="0" collapsed="false">
      <c r="A42" s="12"/>
      <c r="B42" s="12"/>
      <c r="C42" s="12"/>
      <c r="D42" s="12"/>
      <c r="E42" s="12"/>
      <c r="F42" s="12"/>
      <c r="G42" s="12"/>
      <c r="H42" s="11" t="str">
        <f aca="false">IF(E42="","",LEN(TRIM(E42))-LEN(SUBSTITUTE(TRIM(E42)," ",""))+1)</f>
        <v/>
      </c>
      <c r="I42" s="12"/>
    </row>
    <row r="43" customFormat="false" ht="15" hidden="false" customHeight="false" outlineLevel="0" collapsed="false">
      <c r="A43" s="12"/>
      <c r="B43" s="12"/>
      <c r="C43" s="12"/>
      <c r="D43" s="12"/>
      <c r="E43" s="12"/>
      <c r="F43" s="12"/>
      <c r="G43" s="12"/>
      <c r="H43" s="11" t="str">
        <f aca="false">IF(E43="","",LEN(TRIM(E43))-LEN(SUBSTITUTE(TRIM(E43)," ",""))+1)</f>
        <v/>
      </c>
      <c r="I43" s="12"/>
    </row>
    <row r="44" customFormat="false" ht="15" hidden="false" customHeight="false" outlineLevel="0" collapsed="false">
      <c r="A44" s="12"/>
      <c r="B44" s="12"/>
      <c r="C44" s="12"/>
      <c r="D44" s="12"/>
      <c r="E44" s="12"/>
      <c r="F44" s="12"/>
      <c r="G44" s="12"/>
      <c r="H44" s="11" t="str">
        <f aca="false">IF(E44="","",LEN(TRIM(E44))-LEN(SUBSTITUTE(TRIM(E44)," ",""))+1)</f>
        <v/>
      </c>
      <c r="I44" s="12"/>
    </row>
    <row r="45" customFormat="false" ht="15" hidden="false" customHeight="false" outlineLevel="0" collapsed="false">
      <c r="A45" s="12"/>
      <c r="B45" s="12"/>
      <c r="C45" s="12"/>
      <c r="D45" s="12"/>
      <c r="E45" s="12"/>
      <c r="F45" s="12"/>
      <c r="G45" s="12"/>
      <c r="H45" s="11" t="str">
        <f aca="false">IF(E45="","",LEN(TRIM(E45))-LEN(SUBSTITUTE(TRIM(E45)," ",""))+1)</f>
        <v/>
      </c>
      <c r="I45" s="12"/>
    </row>
    <row r="46" customFormat="false" ht="15" hidden="false" customHeight="false" outlineLevel="0" collapsed="false">
      <c r="A46" s="12"/>
      <c r="B46" s="12"/>
      <c r="C46" s="12"/>
      <c r="D46" s="12"/>
      <c r="E46" s="12"/>
      <c r="F46" s="12"/>
      <c r="G46" s="12"/>
      <c r="H46" s="11" t="str">
        <f aca="false">IF(E46="","",LEN(TRIM(E46))-LEN(SUBSTITUTE(TRIM(E46)," ",""))+1)</f>
        <v/>
      </c>
      <c r="I46" s="12"/>
    </row>
    <row r="47" customFormat="false" ht="15" hidden="false" customHeight="false" outlineLevel="0" collapsed="false">
      <c r="A47" s="12"/>
      <c r="B47" s="12"/>
      <c r="C47" s="12"/>
      <c r="D47" s="12"/>
      <c r="E47" s="12"/>
      <c r="F47" s="12"/>
      <c r="G47" s="12"/>
      <c r="H47" s="11" t="str">
        <f aca="false">IF(E47="","",LEN(TRIM(E47))-LEN(SUBSTITUTE(TRIM(E47)," ",""))+1)</f>
        <v/>
      </c>
      <c r="I47" s="12"/>
    </row>
    <row r="48" customFormat="false" ht="15" hidden="false" customHeight="false" outlineLevel="0" collapsed="false">
      <c r="A48" s="12"/>
      <c r="B48" s="12"/>
      <c r="C48" s="12"/>
      <c r="D48" s="12"/>
      <c r="E48" s="12"/>
      <c r="F48" s="12"/>
      <c r="G48" s="12"/>
      <c r="H48" s="11" t="str">
        <f aca="false">IF(E48="","",LEN(TRIM(E48))-LEN(SUBSTITUTE(TRIM(E48)," ",""))+1)</f>
        <v/>
      </c>
      <c r="I48" s="12"/>
    </row>
    <row r="49" customFormat="false" ht="15" hidden="false" customHeight="false" outlineLevel="0" collapsed="false">
      <c r="A49" s="12"/>
      <c r="B49" s="12"/>
      <c r="C49" s="12"/>
      <c r="D49" s="12"/>
      <c r="E49" s="12"/>
      <c r="F49" s="12"/>
      <c r="G49" s="12"/>
      <c r="H49" s="11" t="str">
        <f aca="false">IF(E49="","",LEN(TRIM(E49))-LEN(SUBSTITUTE(TRIM(E49)," ",""))+1)</f>
        <v/>
      </c>
      <c r="I49" s="12"/>
    </row>
    <row r="50" customFormat="false" ht="15" hidden="false" customHeight="false" outlineLevel="0" collapsed="false">
      <c r="A50" s="12"/>
      <c r="B50" s="12"/>
      <c r="C50" s="12"/>
      <c r="D50" s="12"/>
      <c r="E50" s="12"/>
      <c r="F50" s="12"/>
      <c r="G50" s="12"/>
      <c r="H50" s="11" t="str">
        <f aca="false">IF(E50="","",LEN(TRIM(E50))-LEN(SUBSTITUTE(TRIM(E50)," ",""))+1)</f>
        <v/>
      </c>
      <c r="I50" s="12"/>
    </row>
    <row r="51" customFormat="false" ht="15" hidden="false" customHeight="false" outlineLevel="0" collapsed="false">
      <c r="A51" s="12"/>
      <c r="B51" s="12"/>
      <c r="C51" s="12"/>
      <c r="D51" s="12"/>
      <c r="E51" s="12"/>
      <c r="F51" s="12"/>
      <c r="G51" s="12"/>
      <c r="H51" s="11" t="str">
        <f aca="false">IF(E51="","",LEN(TRIM(E51))-LEN(SUBSTITUTE(TRIM(E51)," ",""))+1)</f>
        <v/>
      </c>
      <c r="I51" s="12"/>
    </row>
    <row r="52" customFormat="false" ht="15" hidden="false" customHeight="false" outlineLevel="0" collapsed="false">
      <c r="A52" s="12"/>
      <c r="B52" s="12"/>
      <c r="C52" s="12"/>
      <c r="D52" s="12"/>
      <c r="E52" s="12"/>
      <c r="F52" s="12"/>
      <c r="G52" s="12"/>
      <c r="H52" s="11" t="str">
        <f aca="false">IF(E52="","",LEN(TRIM(E52))-LEN(SUBSTITUTE(TRIM(E52)," ",""))+1)</f>
        <v/>
      </c>
      <c r="I52" s="12"/>
    </row>
    <row r="53" customFormat="false" ht="15" hidden="false" customHeight="false" outlineLevel="0" collapsed="false">
      <c r="A53" s="12"/>
      <c r="B53" s="12"/>
      <c r="C53" s="12"/>
      <c r="D53" s="12"/>
      <c r="E53" s="12"/>
      <c r="F53" s="12"/>
      <c r="G53" s="12"/>
      <c r="H53" s="11" t="str">
        <f aca="false">IF(E53="","",LEN(TRIM(E53))-LEN(SUBSTITUTE(TRIM(E53)," ",""))+1)</f>
        <v/>
      </c>
      <c r="I53" s="12"/>
    </row>
    <row r="54" customFormat="false" ht="15" hidden="false" customHeight="false" outlineLevel="0" collapsed="false">
      <c r="A54" s="12"/>
      <c r="B54" s="12"/>
      <c r="C54" s="12"/>
      <c r="D54" s="12"/>
      <c r="E54" s="12"/>
      <c r="F54" s="12"/>
      <c r="G54" s="12"/>
      <c r="H54" s="11" t="str">
        <f aca="false">IF(E54="","",LEN(TRIM(E54))-LEN(SUBSTITUTE(TRIM(E54)," ",""))+1)</f>
        <v/>
      </c>
      <c r="I54" s="12"/>
    </row>
    <row r="55" customFormat="false" ht="15" hidden="false" customHeight="false" outlineLevel="0" collapsed="false">
      <c r="A55" s="12"/>
      <c r="B55" s="12"/>
      <c r="C55" s="12"/>
      <c r="D55" s="12"/>
      <c r="E55" s="12"/>
      <c r="F55" s="12"/>
      <c r="G55" s="12"/>
      <c r="H55" s="11" t="str">
        <f aca="false">IF(E55="","",LEN(TRIM(E55))-LEN(SUBSTITUTE(TRIM(E55)," ",""))+1)</f>
        <v/>
      </c>
      <c r="I55" s="12"/>
    </row>
    <row r="56" customFormat="false" ht="15" hidden="false" customHeight="false" outlineLevel="0" collapsed="false">
      <c r="A56" s="12"/>
      <c r="B56" s="12"/>
      <c r="C56" s="12"/>
      <c r="D56" s="12"/>
      <c r="E56" s="12"/>
      <c r="F56" s="12"/>
      <c r="G56" s="12"/>
      <c r="H56" s="11" t="str">
        <f aca="false">IF(E56="","",LEN(TRIM(E56))-LEN(SUBSTITUTE(TRIM(E56)," ",""))+1)</f>
        <v/>
      </c>
      <c r="I56" s="12"/>
    </row>
    <row r="57" customFormat="false" ht="15" hidden="false" customHeight="false" outlineLevel="0" collapsed="false">
      <c r="A57" s="12"/>
      <c r="B57" s="12"/>
      <c r="C57" s="12"/>
      <c r="D57" s="12"/>
      <c r="E57" s="12"/>
      <c r="F57" s="12"/>
      <c r="G57" s="12"/>
      <c r="H57" s="11" t="str">
        <f aca="false">IF(E57="","",LEN(TRIM(E57))-LEN(SUBSTITUTE(TRIM(E57)," ",""))+1)</f>
        <v/>
      </c>
      <c r="I57" s="12"/>
    </row>
    <row r="58" customFormat="false" ht="15" hidden="false" customHeight="false" outlineLevel="0" collapsed="false">
      <c r="A58" s="12"/>
      <c r="B58" s="12"/>
      <c r="C58" s="12"/>
      <c r="D58" s="12"/>
      <c r="E58" s="12"/>
      <c r="F58" s="12"/>
      <c r="G58" s="12"/>
      <c r="H58" s="11" t="str">
        <f aca="false">IF(E58="","",LEN(TRIM(E58))-LEN(SUBSTITUTE(TRIM(E58)," ",""))+1)</f>
        <v/>
      </c>
      <c r="I58" s="12"/>
    </row>
    <row r="59" customFormat="false" ht="15" hidden="false" customHeight="false" outlineLevel="0" collapsed="false">
      <c r="A59" s="12"/>
      <c r="B59" s="12"/>
      <c r="C59" s="12"/>
      <c r="D59" s="12"/>
      <c r="E59" s="12"/>
      <c r="F59" s="12"/>
      <c r="G59" s="12"/>
      <c r="H59" s="11" t="str">
        <f aca="false">IF(E59="","",LEN(TRIM(E59))-LEN(SUBSTITUTE(TRIM(E59)," ",""))+1)</f>
        <v/>
      </c>
      <c r="I59" s="12"/>
    </row>
    <row r="60" customFormat="false" ht="15" hidden="false" customHeight="false" outlineLevel="0" collapsed="false">
      <c r="A60" s="12"/>
      <c r="B60" s="12"/>
      <c r="C60" s="12"/>
      <c r="D60" s="12"/>
      <c r="E60" s="12"/>
      <c r="F60" s="12"/>
      <c r="G60" s="12"/>
      <c r="H60" s="11" t="str">
        <f aca="false">IF(E60="","",LEN(TRIM(E60))-LEN(SUBSTITUTE(TRIM(E60)," ",""))+1)</f>
        <v/>
      </c>
      <c r="I60" s="12"/>
    </row>
    <row r="61" customFormat="false" ht="15" hidden="false" customHeight="false" outlineLevel="0" collapsed="false">
      <c r="A61" s="12"/>
      <c r="B61" s="12"/>
      <c r="C61" s="12"/>
      <c r="D61" s="12"/>
      <c r="E61" s="12"/>
      <c r="F61" s="12"/>
      <c r="G61" s="12"/>
      <c r="H61" s="11" t="str">
        <f aca="false">IF(E61="","",LEN(TRIM(E61))-LEN(SUBSTITUTE(TRIM(E61)," ",""))+1)</f>
        <v/>
      </c>
      <c r="I61" s="12"/>
    </row>
    <row r="62" customFormat="false" ht="15" hidden="false" customHeight="false" outlineLevel="0" collapsed="false">
      <c r="A62" s="12"/>
      <c r="B62" s="12"/>
      <c r="C62" s="12"/>
      <c r="D62" s="12"/>
      <c r="E62" s="12"/>
      <c r="F62" s="12"/>
      <c r="G62" s="12"/>
      <c r="H62" s="11" t="str">
        <f aca="false">IF(E62="","",LEN(TRIM(E62))-LEN(SUBSTITUTE(TRIM(E62)," ",""))+1)</f>
        <v/>
      </c>
      <c r="I62" s="12"/>
    </row>
    <row r="63" customFormat="false" ht="15" hidden="false" customHeight="false" outlineLevel="0" collapsed="false">
      <c r="A63" s="12"/>
      <c r="B63" s="12"/>
      <c r="C63" s="12"/>
      <c r="D63" s="12"/>
      <c r="E63" s="12"/>
      <c r="F63" s="12"/>
      <c r="G63" s="12"/>
      <c r="H63" s="11" t="str">
        <f aca="false">IF(E63="","",LEN(TRIM(E63))-LEN(SUBSTITUTE(TRIM(E63)," ",""))+1)</f>
        <v/>
      </c>
      <c r="I63" s="12"/>
    </row>
    <row r="64" customFormat="false" ht="15" hidden="false" customHeight="false" outlineLevel="0" collapsed="false">
      <c r="A64" s="12"/>
      <c r="B64" s="12"/>
      <c r="C64" s="12"/>
      <c r="D64" s="12"/>
      <c r="E64" s="12"/>
      <c r="F64" s="12"/>
      <c r="G64" s="12"/>
      <c r="H64" s="11" t="str">
        <f aca="false">IF(E64="","",LEN(TRIM(E64))-LEN(SUBSTITUTE(TRIM(E64)," ",""))+1)</f>
        <v/>
      </c>
      <c r="I64" s="12"/>
    </row>
    <row r="65" customFormat="false" ht="15" hidden="false" customHeight="false" outlineLevel="0" collapsed="false">
      <c r="A65" s="12"/>
      <c r="B65" s="12"/>
      <c r="C65" s="12"/>
      <c r="D65" s="12"/>
      <c r="E65" s="12"/>
      <c r="F65" s="12"/>
      <c r="G65" s="12"/>
      <c r="H65" s="11" t="str">
        <f aca="false">IF(E65="","",LEN(TRIM(E65))-LEN(SUBSTITUTE(TRIM(E65)," ",""))+1)</f>
        <v/>
      </c>
      <c r="I65" s="12"/>
    </row>
    <row r="66" customFormat="false" ht="15" hidden="false" customHeight="false" outlineLevel="0" collapsed="false">
      <c r="A66" s="12"/>
      <c r="B66" s="12"/>
      <c r="C66" s="12"/>
      <c r="D66" s="12"/>
      <c r="E66" s="12"/>
      <c r="F66" s="12"/>
      <c r="G66" s="12"/>
      <c r="H66" s="11" t="str">
        <f aca="false">IF(E66="","",LEN(TRIM(E66))-LEN(SUBSTITUTE(TRIM(E66)," ",""))+1)</f>
        <v/>
      </c>
      <c r="I66" s="12"/>
    </row>
    <row r="67" customFormat="false" ht="15" hidden="false" customHeight="false" outlineLevel="0" collapsed="false">
      <c r="A67" s="12"/>
      <c r="B67" s="12"/>
      <c r="C67" s="12"/>
      <c r="D67" s="12"/>
      <c r="E67" s="12"/>
      <c r="F67" s="12"/>
      <c r="G67" s="12"/>
      <c r="H67" s="11" t="str">
        <f aca="false">IF(E67="","",LEN(TRIM(E67))-LEN(SUBSTITUTE(TRIM(E67)," ",""))+1)</f>
        <v/>
      </c>
      <c r="I67" s="12"/>
    </row>
    <row r="68" customFormat="false" ht="15" hidden="false" customHeight="false" outlineLevel="0" collapsed="false">
      <c r="A68" s="12"/>
      <c r="B68" s="12"/>
      <c r="C68" s="12"/>
      <c r="D68" s="12"/>
      <c r="E68" s="12"/>
      <c r="F68" s="12"/>
      <c r="G68" s="12"/>
      <c r="H68" s="11" t="str">
        <f aca="false">IF(E68="","",LEN(TRIM(E68))-LEN(SUBSTITUTE(TRIM(E68)," ",""))+1)</f>
        <v/>
      </c>
      <c r="I68" s="12"/>
    </row>
    <row r="69" customFormat="false" ht="15" hidden="false" customHeight="false" outlineLevel="0" collapsed="false">
      <c r="A69" s="12"/>
      <c r="B69" s="12"/>
      <c r="C69" s="12"/>
      <c r="D69" s="12"/>
      <c r="E69" s="12"/>
      <c r="F69" s="12"/>
      <c r="G69" s="12"/>
      <c r="H69" s="11" t="str">
        <f aca="false">IF(E69="","",LEN(TRIM(E69))-LEN(SUBSTITUTE(TRIM(E69)," ",""))+1)</f>
        <v/>
      </c>
      <c r="I69" s="12"/>
    </row>
    <row r="70" customFormat="false" ht="15" hidden="false" customHeight="false" outlineLevel="0" collapsed="false">
      <c r="A70" s="12"/>
      <c r="B70" s="12"/>
      <c r="C70" s="12"/>
      <c r="D70" s="12"/>
      <c r="E70" s="12"/>
      <c r="F70" s="12"/>
      <c r="G70" s="12"/>
      <c r="H70" s="11" t="str">
        <f aca="false">IF(E70="","",LEN(TRIM(E70))-LEN(SUBSTITUTE(TRIM(E70)," ",""))+1)</f>
        <v/>
      </c>
      <c r="I70" s="12"/>
    </row>
    <row r="71" customFormat="false" ht="15" hidden="false" customHeight="false" outlineLevel="0" collapsed="false">
      <c r="A71" s="12"/>
      <c r="B71" s="12"/>
      <c r="C71" s="12"/>
      <c r="D71" s="12"/>
      <c r="E71" s="12"/>
      <c r="F71" s="12"/>
      <c r="G71" s="12"/>
      <c r="H71" s="11" t="str">
        <f aca="false">IF(E71="","",LEN(TRIM(E71))-LEN(SUBSTITUTE(TRIM(E71)," ",""))+1)</f>
        <v/>
      </c>
      <c r="I71" s="12"/>
    </row>
    <row r="72" customFormat="false" ht="15" hidden="false" customHeight="false" outlineLevel="0" collapsed="false">
      <c r="A72" s="12"/>
      <c r="B72" s="12"/>
      <c r="C72" s="12"/>
      <c r="D72" s="12"/>
      <c r="E72" s="12"/>
      <c r="F72" s="12"/>
      <c r="G72" s="12"/>
      <c r="H72" s="11" t="str">
        <f aca="false">IF(E72="","",LEN(TRIM(E72))-LEN(SUBSTITUTE(TRIM(E72)," ",""))+1)</f>
        <v/>
      </c>
      <c r="I72" s="12"/>
    </row>
    <row r="73" customFormat="false" ht="15" hidden="false" customHeight="false" outlineLevel="0" collapsed="false">
      <c r="A73" s="12"/>
      <c r="B73" s="12"/>
      <c r="C73" s="12"/>
      <c r="D73" s="12"/>
      <c r="E73" s="12"/>
      <c r="F73" s="12"/>
      <c r="G73" s="12"/>
      <c r="H73" s="11" t="str">
        <f aca="false">IF(E73="","",LEN(TRIM(E73))-LEN(SUBSTITUTE(TRIM(E73)," ",""))+1)</f>
        <v/>
      </c>
      <c r="I73" s="12"/>
    </row>
    <row r="74" customFormat="false" ht="15" hidden="false" customHeight="false" outlineLevel="0" collapsed="false">
      <c r="A74" s="12"/>
      <c r="B74" s="12"/>
      <c r="C74" s="12"/>
      <c r="D74" s="12"/>
      <c r="E74" s="12"/>
      <c r="F74" s="12"/>
      <c r="G74" s="12"/>
      <c r="H74" s="11" t="str">
        <f aca="false">IF(E74="","",LEN(TRIM(E74))-LEN(SUBSTITUTE(TRIM(E74)," ",""))+1)</f>
        <v/>
      </c>
      <c r="I74" s="12"/>
    </row>
    <row r="75" customFormat="false" ht="15" hidden="false" customHeight="false" outlineLevel="0" collapsed="false">
      <c r="A75" s="12"/>
      <c r="B75" s="12"/>
      <c r="C75" s="12"/>
      <c r="D75" s="12"/>
      <c r="E75" s="12"/>
      <c r="F75" s="12"/>
      <c r="G75" s="12"/>
      <c r="H75" s="11" t="str">
        <f aca="false">IF(E75="","",LEN(TRIM(E75))-LEN(SUBSTITUTE(TRIM(E75)," ",""))+1)</f>
        <v/>
      </c>
      <c r="I75" s="12"/>
    </row>
    <row r="76" customFormat="false" ht="15" hidden="false" customHeight="false" outlineLevel="0" collapsed="false">
      <c r="A76" s="12"/>
      <c r="B76" s="12"/>
      <c r="C76" s="12"/>
      <c r="D76" s="12"/>
      <c r="E76" s="12"/>
      <c r="F76" s="12"/>
      <c r="G76" s="12"/>
      <c r="H76" s="11" t="str">
        <f aca="false">IF(E76="","",LEN(TRIM(E76))-LEN(SUBSTITUTE(TRIM(E76)," ",""))+1)</f>
        <v/>
      </c>
      <c r="I76" s="12"/>
    </row>
    <row r="77" customFormat="false" ht="15" hidden="false" customHeight="false" outlineLevel="0" collapsed="false">
      <c r="A77" s="12"/>
      <c r="B77" s="12"/>
      <c r="C77" s="12"/>
      <c r="D77" s="12"/>
      <c r="E77" s="12"/>
      <c r="F77" s="12"/>
      <c r="G77" s="12"/>
      <c r="H77" s="11" t="str">
        <f aca="false">IF(E77="","",LEN(TRIM(E77))-LEN(SUBSTITUTE(TRIM(E77)," ",""))+1)</f>
        <v/>
      </c>
      <c r="I77" s="12"/>
    </row>
    <row r="78" customFormat="false" ht="15" hidden="false" customHeight="false" outlineLevel="0" collapsed="false">
      <c r="A78" s="12"/>
      <c r="B78" s="12"/>
      <c r="C78" s="12"/>
      <c r="D78" s="12"/>
      <c r="E78" s="12"/>
      <c r="F78" s="12"/>
      <c r="G78" s="12"/>
      <c r="H78" s="11" t="str">
        <f aca="false">IF(E78="","",LEN(TRIM(E78))-LEN(SUBSTITUTE(TRIM(E78)," ",""))+1)</f>
        <v/>
      </c>
      <c r="I78" s="12"/>
    </row>
    <row r="79" customFormat="false" ht="15" hidden="false" customHeight="false" outlineLevel="0" collapsed="false">
      <c r="A79" s="12"/>
      <c r="B79" s="12"/>
      <c r="C79" s="12"/>
      <c r="D79" s="12"/>
      <c r="E79" s="12"/>
      <c r="F79" s="12"/>
      <c r="G79" s="12"/>
      <c r="H79" s="11" t="str">
        <f aca="false">IF(E79="","",LEN(TRIM(E79))-LEN(SUBSTITUTE(TRIM(E79)," ",""))+1)</f>
        <v/>
      </c>
      <c r="I79" s="12"/>
    </row>
  </sheetData>
  <autoFilter ref="A1:I79"/>
  <dataValidations count="4">
    <dataValidation allowBlank="true" error="Pick a value from the list" errorStyle="stop" errorTitle="Invalid value" operator="between" showDropDown="false" showErrorMessage="false" showInputMessage="false" sqref="B3:B79" type="list">
      <formula1>"rPET,rWood,Booths,General,Ordering"</formula1>
      <formula2>0</formula2>
    </dataValidation>
    <dataValidation allowBlank="true" error="Pick a value from the list" errorStyle="stop" errorTitle="Invalid value" operator="between" showDropDown="false" showErrorMessage="false" showInputMessage="false" sqref="C3:C79" type="list">
      <formula1>"en,nl,fr,de,es,pt,da,sv,no,is"</formula1>
      <formula2>0</formula2>
    </dataValidation>
    <dataValidation allowBlank="true" error="Pick a value from the list" errorStyle="stop" errorTitle="Invalid value" operator="between" showDropDown="false" showErrorMessage="false" showInputMessage="false" sqref="I3:I79" type="list">
      <formula1>"Backlog,Briefed,Drafting,Review,Translation,Ready for dev,Live,On hold"</formula1>
      <formula2>0</formula2>
    </dataValidation>
    <dataValidation allowBlank="true" error="Pick a value from the list" errorStyle="stop" errorTitle="Invalid value" operator="between" showDropDown="false" showErrorMessage="false" showInputMessage="false" sqref="G3:G79"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2" min="1" style="0" width="18"/>
    <col collapsed="false" customWidth="true" hidden="false" outlineLevel="0" max="3" min="3" style="0" width="20"/>
    <col collapsed="false" customWidth="true" hidden="false" outlineLevel="0" max="4" min="4" style="0" width="14"/>
    <col collapsed="false" customWidth="true" hidden="false" outlineLevel="0" max="5" min="5" style="0" width="50"/>
    <col collapsed="false" customWidth="true" hidden="false" outlineLevel="0" max="6" min="6" style="0" width="8"/>
    <col collapsed="false" customWidth="true" hidden="false" outlineLevel="0" max="7" min="7" style="0" width="12"/>
    <col collapsed="false" customWidth="true" hidden="false" outlineLevel="0" max="8" min="8" style="0" width="30"/>
    <col collapsed="false" customWidth="true" hidden="false" outlineLevel="0" max="9" min="9" style="0" width="12"/>
    <col collapsed="false" customWidth="true" hidden="false" outlineLevel="0" max="11" min="10" style="0" width="8"/>
    <col collapsed="false" customWidth="true" hidden="false" outlineLevel="0" max="13" min="12" style="0" width="30"/>
    <col collapsed="false" customWidth="true" hidden="false" outlineLevel="0" max="14" min="14" style="0" width="12"/>
  </cols>
  <sheetData>
    <row r="1" customFormat="false" ht="31.5" hidden="false" customHeight="true" outlineLevel="0" collapsed="false">
      <c r="A1" s="4" t="s">
        <v>1198</v>
      </c>
      <c r="B1" s="4" t="s">
        <v>1199</v>
      </c>
      <c r="C1" s="4" t="s">
        <v>1200</v>
      </c>
      <c r="D1" s="4" t="s">
        <v>790</v>
      </c>
      <c r="E1" s="4" t="s">
        <v>1201</v>
      </c>
      <c r="F1" s="4" t="s">
        <v>1202</v>
      </c>
      <c r="G1" s="4" t="s">
        <v>15</v>
      </c>
      <c r="H1" s="4" t="s">
        <v>1203</v>
      </c>
      <c r="I1" s="4" t="s">
        <v>1204</v>
      </c>
      <c r="J1" s="4" t="s">
        <v>1205</v>
      </c>
      <c r="K1" s="4" t="s">
        <v>1206</v>
      </c>
      <c r="L1" s="4" t="s">
        <v>1135</v>
      </c>
      <c r="M1" s="4" t="s">
        <v>1207</v>
      </c>
      <c r="N1" s="4" t="s">
        <v>27</v>
      </c>
    </row>
    <row r="2" customFormat="false" ht="63.75" hidden="false" customHeight="true" outlineLevel="0" collapsed="false">
      <c r="A2" s="7"/>
      <c r="B2" s="7"/>
      <c r="C2" s="7"/>
      <c r="D2" s="7" t="s">
        <v>182</v>
      </c>
      <c r="E2" s="7" t="s">
        <v>1208</v>
      </c>
      <c r="F2" s="7"/>
      <c r="G2" s="7" t="s">
        <v>1209</v>
      </c>
      <c r="H2" s="7"/>
      <c r="I2" s="7" t="s">
        <v>43</v>
      </c>
      <c r="J2" s="7" t="s">
        <v>451</v>
      </c>
      <c r="K2" s="7"/>
      <c r="L2" s="7" t="s">
        <v>452</v>
      </c>
      <c r="M2" s="7" t="s">
        <v>454</v>
      </c>
      <c r="N2" s="7" t="s">
        <v>182</v>
      </c>
    </row>
    <row r="3" customFormat="false" ht="48" hidden="false" customHeight="true" outlineLevel="0" collapsed="false">
      <c r="A3" s="10" t="s">
        <v>1210</v>
      </c>
      <c r="B3" s="10" t="s">
        <v>1211</v>
      </c>
      <c r="C3" s="10" t="s">
        <v>1212</v>
      </c>
      <c r="D3" s="10" t="s">
        <v>829</v>
      </c>
      <c r="E3" s="10" t="s">
        <v>1213</v>
      </c>
      <c r="F3" s="10" t="n">
        <v>5</v>
      </c>
      <c r="G3" s="10" t="s">
        <v>1214</v>
      </c>
      <c r="H3" s="10" t="s">
        <v>1215</v>
      </c>
      <c r="I3" s="10" t="s">
        <v>1216</v>
      </c>
      <c r="J3" s="10" t="s">
        <v>548</v>
      </c>
      <c r="K3" s="10" t="s">
        <v>192</v>
      </c>
      <c r="L3" s="10" t="s">
        <v>1217</v>
      </c>
      <c r="M3" s="10" t="s">
        <v>1218</v>
      </c>
      <c r="N3" s="10" t="s">
        <v>46</v>
      </c>
    </row>
    <row r="4" customFormat="false" ht="46.25" hidden="false" customHeight="false" outlineLevel="0" collapsed="false">
      <c r="A4" s="18" t="s">
        <v>1219</v>
      </c>
      <c r="B4" s="19"/>
      <c r="C4" s="19"/>
      <c r="D4" s="19"/>
      <c r="E4" s="18" t="s">
        <v>1220</v>
      </c>
      <c r="F4" s="18" t="n">
        <v>5</v>
      </c>
      <c r="G4" s="20" t="s">
        <v>1214</v>
      </c>
      <c r="H4" s="18" t="s">
        <v>1221</v>
      </c>
      <c r="I4" s="18" t="s">
        <v>1222</v>
      </c>
      <c r="J4" s="20" t="s">
        <v>467</v>
      </c>
      <c r="K4" s="18" t="s">
        <v>192</v>
      </c>
      <c r="L4" s="18" t="s">
        <v>1223</v>
      </c>
      <c r="M4" s="19"/>
      <c r="N4" s="20" t="s">
        <v>46</v>
      </c>
    </row>
    <row r="5" customFormat="false" ht="15" hidden="false" customHeight="false" outlineLevel="0" collapsed="false">
      <c r="A5" s="18" t="s">
        <v>1224</v>
      </c>
      <c r="B5" s="19"/>
      <c r="C5" s="19"/>
      <c r="D5" s="19"/>
      <c r="E5" s="18" t="s">
        <v>1225</v>
      </c>
      <c r="F5" s="18" t="n">
        <v>5</v>
      </c>
      <c r="G5" s="20" t="s">
        <v>1214</v>
      </c>
      <c r="H5" s="18" t="s">
        <v>1226</v>
      </c>
      <c r="I5" s="18" t="s">
        <v>1222</v>
      </c>
      <c r="J5" s="20" t="s">
        <v>467</v>
      </c>
      <c r="K5" s="18" t="s">
        <v>192</v>
      </c>
      <c r="L5" s="19"/>
      <c r="M5" s="19"/>
      <c r="N5" s="20" t="s">
        <v>46</v>
      </c>
    </row>
    <row r="6" customFormat="false" ht="15" hidden="false" customHeight="false" outlineLevel="0" collapsed="false">
      <c r="A6" s="18" t="s">
        <v>1227</v>
      </c>
      <c r="B6" s="19"/>
      <c r="C6" s="19"/>
      <c r="D6" s="19"/>
      <c r="E6" s="18" t="s">
        <v>1225</v>
      </c>
      <c r="F6" s="18" t="n">
        <v>5</v>
      </c>
      <c r="G6" s="20" t="s">
        <v>1214</v>
      </c>
      <c r="H6" s="18" t="s">
        <v>1226</v>
      </c>
      <c r="I6" s="18" t="s">
        <v>1222</v>
      </c>
      <c r="J6" s="20" t="s">
        <v>467</v>
      </c>
      <c r="K6" s="18" t="s">
        <v>192</v>
      </c>
      <c r="L6" s="19"/>
      <c r="M6" s="19"/>
      <c r="N6" s="20" t="s">
        <v>46</v>
      </c>
    </row>
    <row r="7" customFormat="false" ht="23.85" hidden="false" customHeight="false" outlineLevel="0" collapsed="false">
      <c r="A7" s="18" t="s">
        <v>1228</v>
      </c>
      <c r="B7" s="19"/>
      <c r="C7" s="19"/>
      <c r="D7" s="19"/>
      <c r="E7" s="18" t="s">
        <v>1229</v>
      </c>
      <c r="F7" s="18" t="n">
        <v>5</v>
      </c>
      <c r="G7" s="20" t="s">
        <v>1214</v>
      </c>
      <c r="H7" s="18" t="s">
        <v>1226</v>
      </c>
      <c r="I7" s="18" t="s">
        <v>1222</v>
      </c>
      <c r="J7" s="20" t="s">
        <v>467</v>
      </c>
      <c r="K7" s="18" t="s">
        <v>192</v>
      </c>
      <c r="L7" s="19"/>
      <c r="M7" s="19"/>
      <c r="N7" s="20" t="s">
        <v>46</v>
      </c>
    </row>
    <row r="8" customFormat="false" ht="15" hidden="false" customHeight="false" outlineLevel="0" collapsed="false">
      <c r="A8" s="12"/>
      <c r="B8" s="12"/>
      <c r="C8" s="12"/>
      <c r="D8" s="12"/>
      <c r="E8" s="12"/>
      <c r="F8" s="12"/>
      <c r="G8" s="12"/>
      <c r="H8" s="12"/>
      <c r="I8" s="12"/>
      <c r="J8" s="12"/>
      <c r="K8" s="12"/>
      <c r="L8" s="12"/>
      <c r="M8" s="12"/>
      <c r="N8" s="12"/>
    </row>
    <row r="9" customFormat="false" ht="199.95" hidden="false" customHeight="false" outlineLevel="0" collapsed="false">
      <c r="A9" s="21" t="s">
        <v>1230</v>
      </c>
      <c r="B9" s="12"/>
      <c r="C9" s="12"/>
      <c r="D9" s="12"/>
      <c r="E9" s="12"/>
      <c r="F9" s="12"/>
      <c r="G9" s="12"/>
      <c r="H9" s="12"/>
      <c r="I9" s="12"/>
      <c r="J9" s="12"/>
      <c r="K9" s="12"/>
      <c r="L9" s="12"/>
      <c r="M9" s="12"/>
      <c r="N9" s="12"/>
    </row>
    <row r="10" customFormat="false" ht="15" hidden="false" customHeight="false" outlineLevel="0" collapsed="false">
      <c r="A10" s="12"/>
      <c r="B10" s="12"/>
      <c r="C10" s="12"/>
      <c r="D10" s="12"/>
      <c r="E10" s="12"/>
      <c r="F10" s="12"/>
      <c r="G10" s="12"/>
      <c r="H10" s="12"/>
      <c r="I10" s="12"/>
      <c r="J10" s="12"/>
      <c r="K10" s="12"/>
      <c r="L10" s="12"/>
      <c r="M10" s="12"/>
      <c r="N10" s="12"/>
    </row>
    <row r="11" customFormat="false" ht="15" hidden="false" customHeight="false" outlineLevel="0" collapsed="false">
      <c r="A11" s="12"/>
      <c r="B11" s="12"/>
      <c r="C11" s="12"/>
      <c r="D11" s="12"/>
      <c r="E11" s="12"/>
      <c r="F11" s="12"/>
      <c r="G11" s="12"/>
      <c r="H11" s="12"/>
      <c r="I11" s="12"/>
      <c r="J11" s="12"/>
      <c r="K11" s="12"/>
      <c r="L11" s="12"/>
      <c r="M11" s="12"/>
      <c r="N11" s="12"/>
    </row>
    <row r="12" customFormat="false" ht="15" hidden="false" customHeight="false" outlineLevel="0" collapsed="false">
      <c r="A12" s="12"/>
      <c r="B12" s="12"/>
      <c r="C12" s="12"/>
      <c r="D12" s="12"/>
      <c r="E12" s="12"/>
      <c r="F12" s="12"/>
      <c r="G12" s="12"/>
      <c r="H12" s="12"/>
      <c r="I12" s="12"/>
      <c r="J12" s="12"/>
      <c r="K12" s="12"/>
      <c r="L12" s="12"/>
      <c r="M12" s="12"/>
      <c r="N12" s="12"/>
    </row>
    <row r="13" customFormat="false" ht="15" hidden="false" customHeight="false" outlineLevel="0" collapsed="false">
      <c r="A13" s="12"/>
      <c r="B13" s="12"/>
      <c r="C13" s="12"/>
      <c r="D13" s="12"/>
      <c r="E13" s="12"/>
      <c r="F13" s="12"/>
      <c r="G13" s="12"/>
      <c r="H13" s="12"/>
      <c r="I13" s="12"/>
      <c r="J13" s="12"/>
      <c r="K13" s="12"/>
      <c r="L13" s="12"/>
      <c r="M13" s="12"/>
      <c r="N13" s="12"/>
    </row>
    <row r="14" customFormat="false" ht="15" hidden="false" customHeight="false" outlineLevel="0" collapsed="false">
      <c r="A14" s="12"/>
      <c r="B14" s="12"/>
      <c r="C14" s="12"/>
      <c r="D14" s="12"/>
      <c r="E14" s="12"/>
      <c r="F14" s="12"/>
      <c r="G14" s="12"/>
      <c r="H14" s="12"/>
      <c r="I14" s="12"/>
      <c r="J14" s="12"/>
      <c r="K14" s="12"/>
      <c r="L14" s="12"/>
      <c r="M14" s="12"/>
      <c r="N14" s="12"/>
    </row>
    <row r="15" customFormat="false" ht="15" hidden="false" customHeight="false" outlineLevel="0" collapsed="false">
      <c r="A15" s="12"/>
      <c r="B15" s="12"/>
      <c r="C15" s="12"/>
      <c r="D15" s="12"/>
      <c r="E15" s="12"/>
      <c r="F15" s="12"/>
      <c r="G15" s="12"/>
      <c r="H15" s="12"/>
      <c r="I15" s="12"/>
      <c r="J15" s="12"/>
      <c r="K15" s="12"/>
      <c r="L15" s="12"/>
      <c r="M15" s="12"/>
      <c r="N15" s="12"/>
    </row>
    <row r="16" customFormat="false" ht="15" hidden="false" customHeight="false" outlineLevel="0" collapsed="false">
      <c r="A16" s="12"/>
      <c r="B16" s="12"/>
      <c r="C16" s="12"/>
      <c r="D16" s="12"/>
      <c r="E16" s="12"/>
      <c r="F16" s="12"/>
      <c r="G16" s="12"/>
      <c r="H16" s="12"/>
      <c r="I16" s="12"/>
      <c r="J16" s="12"/>
      <c r="K16" s="12"/>
      <c r="L16" s="12"/>
      <c r="M16" s="12"/>
      <c r="N16" s="12"/>
    </row>
    <row r="17" customFormat="false" ht="15" hidden="false" customHeight="false" outlineLevel="0" collapsed="false">
      <c r="A17" s="12"/>
      <c r="B17" s="12"/>
      <c r="C17" s="12"/>
      <c r="D17" s="12"/>
      <c r="E17" s="12"/>
      <c r="F17" s="12"/>
      <c r="G17" s="12"/>
      <c r="H17" s="12"/>
      <c r="I17" s="12"/>
      <c r="J17" s="12"/>
      <c r="K17" s="12"/>
      <c r="L17" s="12"/>
      <c r="M17" s="12"/>
      <c r="N17" s="12"/>
    </row>
    <row r="18" customFormat="false" ht="15" hidden="false" customHeight="false" outlineLevel="0" collapsed="false">
      <c r="A18" s="12"/>
      <c r="B18" s="12"/>
      <c r="C18" s="12"/>
      <c r="D18" s="12"/>
      <c r="E18" s="12"/>
      <c r="F18" s="12"/>
      <c r="G18" s="12"/>
      <c r="H18" s="12"/>
      <c r="I18" s="12"/>
      <c r="J18" s="12"/>
      <c r="K18" s="12"/>
      <c r="L18" s="12"/>
      <c r="M18" s="12"/>
      <c r="N18" s="12"/>
    </row>
    <row r="19" customFormat="false" ht="15" hidden="false" customHeight="false" outlineLevel="0" collapsed="false">
      <c r="A19" s="12"/>
      <c r="B19" s="12"/>
      <c r="C19" s="12"/>
      <c r="D19" s="12"/>
      <c r="E19" s="12"/>
      <c r="F19" s="12"/>
      <c r="G19" s="12"/>
      <c r="H19" s="12"/>
      <c r="I19" s="12"/>
      <c r="J19" s="12"/>
      <c r="K19" s="12"/>
      <c r="L19" s="12"/>
      <c r="M19" s="12"/>
      <c r="N19" s="12"/>
    </row>
    <row r="20" customFormat="false" ht="15" hidden="false" customHeight="false" outlineLevel="0" collapsed="false">
      <c r="A20" s="12"/>
      <c r="B20" s="12"/>
      <c r="C20" s="12"/>
      <c r="D20" s="12"/>
      <c r="E20" s="12"/>
      <c r="F20" s="12"/>
      <c r="G20" s="12"/>
      <c r="H20" s="12"/>
      <c r="I20" s="12"/>
      <c r="J20" s="12"/>
      <c r="K20" s="12"/>
      <c r="L20" s="12"/>
      <c r="M20" s="12"/>
      <c r="N20" s="12"/>
    </row>
    <row r="21" customFormat="false" ht="15" hidden="false" customHeight="false" outlineLevel="0" collapsed="false">
      <c r="A21" s="12"/>
      <c r="B21" s="12"/>
      <c r="C21" s="12"/>
      <c r="D21" s="12"/>
      <c r="E21" s="12"/>
      <c r="F21" s="12"/>
      <c r="G21" s="12"/>
      <c r="H21" s="12"/>
      <c r="I21" s="12"/>
      <c r="J21" s="12"/>
      <c r="K21" s="12"/>
      <c r="L21" s="12"/>
      <c r="M21" s="12"/>
      <c r="N21" s="12"/>
    </row>
    <row r="22" customFormat="false" ht="15" hidden="false" customHeight="false" outlineLevel="0" collapsed="false">
      <c r="A22" s="12"/>
      <c r="B22" s="12"/>
      <c r="C22" s="12"/>
      <c r="D22" s="12"/>
      <c r="E22" s="12"/>
      <c r="F22" s="12"/>
      <c r="G22" s="12"/>
      <c r="H22" s="12"/>
      <c r="I22" s="12"/>
      <c r="J22" s="12"/>
      <c r="K22" s="12"/>
      <c r="L22" s="12"/>
      <c r="M22" s="12"/>
      <c r="N22" s="12"/>
    </row>
    <row r="23" customFormat="false" ht="15" hidden="false" customHeight="false" outlineLevel="0" collapsed="false">
      <c r="A23" s="12"/>
      <c r="B23" s="12"/>
      <c r="C23" s="12"/>
      <c r="D23" s="12"/>
      <c r="E23" s="12"/>
      <c r="F23" s="12"/>
      <c r="G23" s="12"/>
      <c r="H23" s="12"/>
      <c r="I23" s="12"/>
      <c r="J23" s="12"/>
      <c r="K23" s="12"/>
      <c r="L23" s="12"/>
      <c r="M23" s="12"/>
      <c r="N23" s="12"/>
    </row>
    <row r="24" customFormat="false" ht="15" hidden="false" customHeight="false" outlineLevel="0" collapsed="false">
      <c r="A24" s="12"/>
      <c r="B24" s="12"/>
      <c r="C24" s="12"/>
      <c r="D24" s="12"/>
      <c r="E24" s="12"/>
      <c r="F24" s="12"/>
      <c r="G24" s="12"/>
      <c r="H24" s="12"/>
      <c r="I24" s="12"/>
      <c r="J24" s="12"/>
      <c r="K24" s="12"/>
      <c r="L24" s="12"/>
      <c r="M24" s="12"/>
      <c r="N24" s="12"/>
    </row>
    <row r="25" customFormat="false" ht="15" hidden="false" customHeight="false" outlineLevel="0" collapsed="false">
      <c r="A25" s="12"/>
      <c r="B25" s="12"/>
      <c r="C25" s="12"/>
      <c r="D25" s="12"/>
      <c r="E25" s="12"/>
      <c r="F25" s="12"/>
      <c r="G25" s="12"/>
      <c r="H25" s="12"/>
      <c r="I25" s="12"/>
      <c r="J25" s="12"/>
      <c r="K25" s="12"/>
      <c r="L25" s="12"/>
      <c r="M25" s="12"/>
      <c r="N25" s="12"/>
    </row>
    <row r="26" customFormat="false" ht="15" hidden="false" customHeight="false" outlineLevel="0" collapsed="false">
      <c r="A26" s="12"/>
      <c r="B26" s="12"/>
      <c r="C26" s="12"/>
      <c r="D26" s="12"/>
      <c r="E26" s="12"/>
      <c r="F26" s="12"/>
      <c r="G26" s="12"/>
      <c r="H26" s="12"/>
      <c r="I26" s="12"/>
      <c r="J26" s="12"/>
      <c r="K26" s="12"/>
      <c r="L26" s="12"/>
      <c r="M26" s="12"/>
      <c r="N26" s="12"/>
    </row>
    <row r="27" customFormat="false" ht="15" hidden="false" customHeight="false" outlineLevel="0" collapsed="false">
      <c r="A27" s="12"/>
      <c r="B27" s="12"/>
      <c r="C27" s="12"/>
      <c r="D27" s="12"/>
      <c r="E27" s="12"/>
      <c r="F27" s="12"/>
      <c r="G27" s="12"/>
      <c r="H27" s="12"/>
      <c r="I27" s="12"/>
      <c r="J27" s="12"/>
      <c r="K27" s="12"/>
      <c r="L27" s="12"/>
      <c r="M27" s="12"/>
      <c r="N27" s="12"/>
    </row>
    <row r="28" customFormat="false" ht="15" hidden="false" customHeight="false" outlineLevel="0" collapsed="false">
      <c r="A28" s="12"/>
      <c r="B28" s="12"/>
      <c r="C28" s="12"/>
      <c r="D28" s="12"/>
      <c r="E28" s="12"/>
      <c r="F28" s="12"/>
      <c r="G28" s="12"/>
      <c r="H28" s="12"/>
      <c r="I28" s="12"/>
      <c r="J28" s="12"/>
      <c r="K28" s="12"/>
      <c r="L28" s="12"/>
      <c r="M28" s="12"/>
      <c r="N28" s="12"/>
    </row>
    <row r="29" customFormat="false" ht="15" hidden="false" customHeight="false" outlineLevel="0" collapsed="false">
      <c r="A29" s="12"/>
      <c r="B29" s="12"/>
      <c r="C29" s="12"/>
      <c r="D29" s="12"/>
      <c r="E29" s="12"/>
      <c r="F29" s="12"/>
      <c r="G29" s="12"/>
      <c r="H29" s="12"/>
      <c r="I29" s="12"/>
      <c r="J29" s="12"/>
      <c r="K29" s="12"/>
      <c r="L29" s="12"/>
      <c r="M29" s="12"/>
      <c r="N29" s="12"/>
    </row>
    <row r="30" customFormat="false" ht="15" hidden="false" customHeight="false" outlineLevel="0" collapsed="false">
      <c r="A30" s="12"/>
      <c r="B30" s="12"/>
      <c r="C30" s="12"/>
      <c r="D30" s="12"/>
      <c r="E30" s="12"/>
      <c r="F30" s="12"/>
      <c r="G30" s="12"/>
      <c r="H30" s="12"/>
      <c r="I30" s="12"/>
      <c r="J30" s="12"/>
      <c r="K30" s="12"/>
      <c r="L30" s="12"/>
      <c r="M30" s="12"/>
      <c r="N30" s="12"/>
    </row>
    <row r="31" customFormat="false" ht="15" hidden="false" customHeight="false" outlineLevel="0" collapsed="false">
      <c r="A31" s="12"/>
      <c r="B31" s="12"/>
      <c r="C31" s="12"/>
      <c r="D31" s="12"/>
      <c r="E31" s="12"/>
      <c r="F31" s="12"/>
      <c r="G31" s="12"/>
      <c r="H31" s="12"/>
      <c r="I31" s="12"/>
      <c r="J31" s="12"/>
      <c r="K31" s="12"/>
      <c r="L31" s="12"/>
      <c r="M31" s="12"/>
      <c r="N31" s="12"/>
    </row>
    <row r="32" customFormat="false" ht="15" hidden="false" customHeight="false" outlineLevel="0" collapsed="false">
      <c r="A32" s="12"/>
      <c r="B32" s="12"/>
      <c r="C32" s="12"/>
      <c r="D32" s="12"/>
      <c r="E32" s="12"/>
      <c r="F32" s="12"/>
      <c r="G32" s="12"/>
      <c r="H32" s="12"/>
      <c r="I32" s="12"/>
      <c r="J32" s="12"/>
      <c r="K32" s="12"/>
      <c r="L32" s="12"/>
      <c r="M32" s="12"/>
      <c r="N32" s="12"/>
    </row>
    <row r="33" customFormat="false" ht="15" hidden="false" customHeight="false" outlineLevel="0" collapsed="false">
      <c r="A33" s="12"/>
      <c r="B33" s="12"/>
      <c r="C33" s="12"/>
      <c r="D33" s="12"/>
      <c r="E33" s="12"/>
      <c r="F33" s="12"/>
      <c r="G33" s="12"/>
      <c r="H33" s="12"/>
      <c r="I33" s="12"/>
      <c r="J33" s="12"/>
      <c r="K33" s="12"/>
      <c r="L33" s="12"/>
      <c r="M33" s="12"/>
      <c r="N33" s="12"/>
    </row>
    <row r="34" customFormat="false" ht="15" hidden="false" customHeight="false" outlineLevel="0" collapsed="false">
      <c r="A34" s="12"/>
      <c r="B34" s="12"/>
      <c r="C34" s="12"/>
      <c r="D34" s="12"/>
      <c r="E34" s="12"/>
      <c r="F34" s="12"/>
      <c r="G34" s="12"/>
      <c r="H34" s="12"/>
      <c r="I34" s="12"/>
      <c r="J34" s="12"/>
      <c r="K34" s="12"/>
      <c r="L34" s="12"/>
      <c r="M34" s="12"/>
      <c r="N34" s="12"/>
    </row>
    <row r="35" customFormat="false" ht="15" hidden="false" customHeight="false" outlineLevel="0" collapsed="false">
      <c r="A35" s="12"/>
      <c r="B35" s="12"/>
      <c r="C35" s="12"/>
      <c r="D35" s="12"/>
      <c r="E35" s="12"/>
      <c r="F35" s="12"/>
      <c r="G35" s="12"/>
      <c r="H35" s="12"/>
      <c r="I35" s="12"/>
      <c r="J35" s="12"/>
      <c r="K35" s="12"/>
      <c r="L35" s="12"/>
      <c r="M35" s="12"/>
      <c r="N35" s="12"/>
    </row>
    <row r="36" customFormat="false" ht="15" hidden="false" customHeight="false" outlineLevel="0" collapsed="false">
      <c r="A36" s="12"/>
      <c r="B36" s="12"/>
      <c r="C36" s="12"/>
      <c r="D36" s="12"/>
      <c r="E36" s="12"/>
      <c r="F36" s="12"/>
      <c r="G36" s="12"/>
      <c r="H36" s="12"/>
      <c r="I36" s="12"/>
      <c r="J36" s="12"/>
      <c r="K36" s="12"/>
      <c r="L36" s="12"/>
      <c r="M36" s="12"/>
      <c r="N36" s="12"/>
    </row>
    <row r="37" customFormat="false" ht="15" hidden="false" customHeight="false" outlineLevel="0" collapsed="false">
      <c r="A37" s="12"/>
      <c r="B37" s="12"/>
      <c r="C37" s="12"/>
      <c r="D37" s="12"/>
      <c r="E37" s="12"/>
      <c r="F37" s="12"/>
      <c r="G37" s="12"/>
      <c r="H37" s="12"/>
      <c r="I37" s="12"/>
      <c r="J37" s="12"/>
      <c r="K37" s="12"/>
      <c r="L37" s="12"/>
      <c r="M37" s="12"/>
      <c r="N37" s="12"/>
    </row>
    <row r="38" customFormat="false" ht="15" hidden="false" customHeight="false" outlineLevel="0" collapsed="false">
      <c r="A38" s="12"/>
      <c r="B38" s="12"/>
      <c r="C38" s="12"/>
      <c r="D38" s="12"/>
      <c r="E38" s="12"/>
      <c r="F38" s="12"/>
      <c r="G38" s="12"/>
      <c r="H38" s="12"/>
      <c r="I38" s="12"/>
      <c r="J38" s="12"/>
      <c r="K38" s="12"/>
      <c r="L38" s="12"/>
      <c r="M38" s="12"/>
      <c r="N38" s="12"/>
    </row>
    <row r="39" customFormat="false" ht="15" hidden="false" customHeight="false" outlineLevel="0" collapsed="false">
      <c r="A39" s="12"/>
      <c r="B39" s="12"/>
      <c r="C39" s="12"/>
      <c r="D39" s="12"/>
      <c r="E39" s="12"/>
      <c r="F39" s="12"/>
      <c r="G39" s="12"/>
      <c r="H39" s="12"/>
      <c r="I39" s="12"/>
      <c r="J39" s="12"/>
      <c r="K39" s="12"/>
      <c r="L39" s="12"/>
      <c r="M39" s="12"/>
      <c r="N39" s="12"/>
    </row>
    <row r="40" customFormat="false" ht="15" hidden="false" customHeight="false" outlineLevel="0" collapsed="false">
      <c r="A40" s="12"/>
      <c r="B40" s="12"/>
      <c r="C40" s="12"/>
      <c r="D40" s="12"/>
      <c r="E40" s="12"/>
      <c r="F40" s="12"/>
      <c r="G40" s="12"/>
      <c r="H40" s="12"/>
      <c r="I40" s="12"/>
      <c r="J40" s="12"/>
      <c r="K40" s="12"/>
      <c r="L40" s="12"/>
      <c r="M40" s="12"/>
      <c r="N40" s="12"/>
    </row>
    <row r="41" customFormat="false" ht="15" hidden="false" customHeight="false" outlineLevel="0" collapsed="false">
      <c r="A41" s="12"/>
      <c r="B41" s="12"/>
      <c r="C41" s="12"/>
      <c r="D41" s="12"/>
      <c r="E41" s="12"/>
      <c r="F41" s="12"/>
      <c r="G41" s="12"/>
      <c r="H41" s="12"/>
      <c r="I41" s="12"/>
      <c r="J41" s="12"/>
      <c r="K41" s="12"/>
      <c r="L41" s="12"/>
      <c r="M41" s="12"/>
      <c r="N41" s="12"/>
    </row>
    <row r="42" customFormat="false" ht="15" hidden="false" customHeight="false" outlineLevel="0" collapsed="false">
      <c r="A42" s="12"/>
      <c r="B42" s="12"/>
      <c r="C42" s="12"/>
      <c r="D42" s="12"/>
      <c r="E42" s="12"/>
      <c r="F42" s="12"/>
      <c r="G42" s="12"/>
      <c r="H42" s="12"/>
      <c r="I42" s="12"/>
      <c r="J42" s="12"/>
      <c r="K42" s="12"/>
      <c r="L42" s="12"/>
      <c r="M42" s="12"/>
      <c r="N42" s="12"/>
    </row>
    <row r="43" customFormat="false" ht="15" hidden="false" customHeight="false" outlineLevel="0" collapsed="false">
      <c r="A43" s="12"/>
      <c r="B43" s="12"/>
      <c r="C43" s="12"/>
      <c r="D43" s="12"/>
      <c r="E43" s="12"/>
      <c r="F43" s="12"/>
      <c r="G43" s="12"/>
      <c r="H43" s="12"/>
      <c r="I43" s="12"/>
      <c r="J43" s="12"/>
      <c r="K43" s="12"/>
      <c r="L43" s="12"/>
      <c r="M43" s="12"/>
      <c r="N43" s="12"/>
    </row>
  </sheetData>
  <autoFilter ref="A1:N43"/>
  <dataValidations count="4">
    <dataValidation allowBlank="true" error="Pick a value from the list" errorStyle="stop" errorTitle="Invalid value" operator="between" showDropDown="false" showErrorMessage="false" showInputMessage="false" sqref="D3:D43" type="list">
      <formula1>"Office,Education,Healthcare,Hospitality &amp; restaurants,Home,Retail,Public buildings,Industry"</formula1>
      <formula2>0</formula2>
    </dataValidation>
    <dataValidation allowBlank="true" error="Pick a value from the list" errorStyle="stop" errorTitle="Invalid value" operator="between" showDropDown="false" showErrorMessage="false" showInputMessage="false" sqref="N3:N43" type="list">
      <formula1>"Backlog,Briefed,Drafting,Review,Translation,Ready for dev,Live,On hold"</formula1>
      <formula2>0</formula2>
    </dataValidation>
    <dataValidation allowBlank="true" error="Pick a value from the list" errorStyle="stop" errorTitle="Invalid value" operator="between" showDropDown="false" showErrorMessage="false" showInputMessage="false" sqref="J3:J43" type="list">
      <formula1>"Y,N"</formula1>
      <formula2>0</formula2>
    </dataValidation>
    <dataValidation allowBlank="true" error="Pick a value from the list" errorStyle="stop" errorTitle="Invalid value" operator="between" showDropDown="false" showErrorMessage="false" showInputMessage="false" sqref="G3:G43" type="list">
      <formula1>"Google,on-site,LinkedIn,email,Trustpilot"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Q5" activeCellId="0" sqref="Q5"/>
    </sheetView>
  </sheetViews>
  <sheetFormatPr defaultColWidth="8.6679687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8"/>
    <col collapsed="false" customWidth="true" hidden="false" outlineLevel="0" max="4" min="4" style="0" width="14"/>
    <col collapsed="false" customWidth="true" hidden="false" outlineLevel="0" max="5" min="5" style="0" width="34"/>
    <col collapsed="false" customWidth="true" hidden="false" outlineLevel="0" max="7" min="6" style="0" width="10"/>
    <col collapsed="false" customWidth="true" hidden="false" outlineLevel="0" max="8" min="8" style="0" width="30"/>
    <col collapsed="false" customWidth="true" hidden="false" outlineLevel="0" max="9" min="9" style="0" width="16"/>
    <col collapsed="false" customWidth="true" hidden="false" outlineLevel="0" max="10" min="10" style="0" width="22"/>
    <col collapsed="false" customWidth="true" hidden="false" outlineLevel="0" max="11" min="11" style="0" width="16"/>
    <col collapsed="false" customWidth="true" hidden="false" outlineLevel="0" max="13" min="12" style="0" width="24"/>
    <col collapsed="false" customWidth="true" hidden="false" outlineLevel="0" max="14" min="14" style="0" width="20"/>
    <col collapsed="false" customWidth="true" hidden="false" outlineLevel="0" max="15" min="15" style="0" width="14"/>
    <col collapsed="false" customWidth="true" hidden="false" outlineLevel="0" max="16" min="16" style="0" width="12"/>
    <col collapsed="false" customWidth="true" hidden="false" outlineLevel="0" max="17" min="17" style="0" width="10"/>
  </cols>
  <sheetData>
    <row r="1" customFormat="false" ht="31.5" hidden="false" customHeight="true" outlineLevel="0" collapsed="false">
      <c r="A1" s="4" t="s">
        <v>1231</v>
      </c>
      <c r="B1" s="4" t="s">
        <v>696</v>
      </c>
      <c r="C1" s="4" t="s">
        <v>792</v>
      </c>
      <c r="D1" s="4" t="s">
        <v>791</v>
      </c>
      <c r="E1" s="4" t="s">
        <v>1232</v>
      </c>
      <c r="F1" s="4" t="s">
        <v>1233</v>
      </c>
      <c r="G1" s="4" t="s">
        <v>1234</v>
      </c>
      <c r="H1" s="4" t="s">
        <v>1235</v>
      </c>
      <c r="I1" s="4" t="s">
        <v>1236</v>
      </c>
      <c r="J1" s="4" t="s">
        <v>1237</v>
      </c>
      <c r="K1" s="4" t="s">
        <v>1238</v>
      </c>
      <c r="L1" s="4" t="s">
        <v>1239</v>
      </c>
      <c r="M1" s="4" t="s">
        <v>1240</v>
      </c>
      <c r="N1" s="4" t="s">
        <v>1241</v>
      </c>
      <c r="O1" s="4" t="s">
        <v>1242</v>
      </c>
      <c r="P1" s="4" t="s">
        <v>1243</v>
      </c>
      <c r="Q1" s="4" t="s">
        <v>27</v>
      </c>
    </row>
    <row r="2" customFormat="false" ht="63.75" hidden="false" customHeight="true" outlineLevel="0" collapsed="false">
      <c r="A2" s="7" t="s">
        <v>1200</v>
      </c>
      <c r="B2" s="7" t="s">
        <v>1244</v>
      </c>
      <c r="C2" s="7" t="s">
        <v>816</v>
      </c>
      <c r="D2" s="7"/>
      <c r="E2" s="7"/>
      <c r="F2" s="7" t="s">
        <v>1245</v>
      </c>
      <c r="G2" s="7" t="s">
        <v>1245</v>
      </c>
      <c r="H2" s="7" t="s">
        <v>452</v>
      </c>
      <c r="I2" s="7"/>
      <c r="J2" s="7"/>
      <c r="K2" s="7"/>
      <c r="L2" s="7"/>
      <c r="M2" s="7" t="s">
        <v>1246</v>
      </c>
      <c r="N2" s="7" t="s">
        <v>1247</v>
      </c>
      <c r="O2" s="7"/>
      <c r="P2" s="7" t="s">
        <v>1248</v>
      </c>
      <c r="Q2" s="7" t="s">
        <v>1249</v>
      </c>
    </row>
    <row r="3" customFormat="false" ht="48" hidden="false" customHeight="true" outlineLevel="0" collapsed="false">
      <c r="A3" s="10" t="s">
        <v>1250</v>
      </c>
      <c r="B3" s="10" t="s">
        <v>1251</v>
      </c>
      <c r="C3" s="10" t="s">
        <v>484</v>
      </c>
      <c r="D3" s="10" t="s">
        <v>1252</v>
      </c>
      <c r="E3" s="10" t="s">
        <v>1253</v>
      </c>
      <c r="F3" s="10" t="n">
        <v>51.1953188</v>
      </c>
      <c r="G3" s="10" t="n">
        <v>4.2239015</v>
      </c>
      <c r="H3" s="10" t="s">
        <v>1254</v>
      </c>
      <c r="I3" s="10" t="s">
        <v>1255</v>
      </c>
      <c r="J3" s="10" t="s">
        <v>1256</v>
      </c>
      <c r="K3" s="10" t="s">
        <v>1257</v>
      </c>
      <c r="L3" s="10" t="s">
        <v>1258</v>
      </c>
      <c r="M3" s="10" t="s">
        <v>1259</v>
      </c>
      <c r="N3" s="10"/>
      <c r="O3" s="10" t="s">
        <v>1260</v>
      </c>
      <c r="P3" s="10" t="s">
        <v>1261</v>
      </c>
      <c r="Q3" s="10" t="s">
        <v>95</v>
      </c>
    </row>
    <row r="4" customFormat="false" ht="27.75" hidden="false" customHeight="true" outlineLevel="0" collapsed="false">
      <c r="A4" s="11" t="s">
        <v>1250</v>
      </c>
      <c r="B4" s="11" t="s">
        <v>1251</v>
      </c>
      <c r="C4" s="11" t="s">
        <v>484</v>
      </c>
      <c r="D4" s="11" t="s">
        <v>1252</v>
      </c>
      <c r="E4" s="11" t="s">
        <v>1253</v>
      </c>
      <c r="F4" s="11" t="n">
        <v>51.1953188</v>
      </c>
      <c r="G4" s="11" t="n">
        <v>4.2239015</v>
      </c>
      <c r="H4" s="11" t="s">
        <v>1254</v>
      </c>
      <c r="I4" s="12"/>
      <c r="J4" s="11" t="s">
        <v>1256</v>
      </c>
      <c r="K4" s="11" t="s">
        <v>1257</v>
      </c>
      <c r="L4" s="11" t="s">
        <v>1258</v>
      </c>
      <c r="M4" s="11" t="s">
        <v>1262</v>
      </c>
      <c r="N4" s="12"/>
      <c r="O4" s="10" t="s">
        <v>1260</v>
      </c>
      <c r="P4" s="11" t="s">
        <v>548</v>
      </c>
      <c r="Q4" s="11" t="s">
        <v>95</v>
      </c>
    </row>
    <row r="5" customFormat="false" ht="27.75" hidden="false" customHeight="true" outlineLevel="0" collapsed="false">
      <c r="A5" s="12" t="s">
        <v>1263</v>
      </c>
      <c r="B5" s="12" t="s">
        <v>1264</v>
      </c>
      <c r="C5" s="12" t="s">
        <v>460</v>
      </c>
      <c r="D5" s="12" t="s">
        <v>1265</v>
      </c>
      <c r="E5" s="12" t="s">
        <v>1266</v>
      </c>
      <c r="F5" s="12"/>
      <c r="G5" s="12"/>
      <c r="H5" s="11" t="s">
        <v>1254</v>
      </c>
      <c r="I5" s="12"/>
      <c r="J5" s="11" t="s">
        <v>1256</v>
      </c>
      <c r="K5" s="12"/>
      <c r="L5" s="11" t="s">
        <v>1258</v>
      </c>
      <c r="M5" s="11" t="s">
        <v>1262</v>
      </c>
      <c r="N5" s="12"/>
      <c r="O5" s="12" t="s">
        <v>1267</v>
      </c>
      <c r="P5" s="12" t="s">
        <v>548</v>
      </c>
      <c r="Q5" s="12" t="s">
        <v>1268</v>
      </c>
    </row>
    <row r="6" customFormat="false" ht="15" hidden="false" customHeight="false" outlineLevel="0" collapsed="false">
      <c r="A6" s="12"/>
      <c r="B6" s="12"/>
      <c r="C6" s="12"/>
      <c r="D6" s="12"/>
      <c r="E6" s="12"/>
      <c r="F6" s="12"/>
      <c r="G6" s="12"/>
      <c r="H6" s="12"/>
      <c r="I6" s="12"/>
      <c r="J6" s="12"/>
      <c r="K6" s="12"/>
      <c r="L6" s="12"/>
      <c r="M6" s="12"/>
      <c r="N6" s="12"/>
      <c r="O6" s="12"/>
      <c r="P6" s="12"/>
      <c r="Q6" s="12"/>
    </row>
    <row r="7" customFormat="false" ht="15" hidden="false" customHeight="false" outlineLevel="0" collapsed="false">
      <c r="A7" s="12"/>
      <c r="B7" s="12"/>
      <c r="C7" s="12"/>
      <c r="D7" s="12"/>
      <c r="E7" s="12"/>
      <c r="F7" s="12"/>
      <c r="G7" s="12"/>
      <c r="H7" s="12"/>
      <c r="I7" s="12"/>
      <c r="J7" s="12"/>
      <c r="K7" s="12"/>
      <c r="L7" s="12"/>
      <c r="M7" s="12"/>
      <c r="N7" s="12"/>
      <c r="O7" s="12"/>
      <c r="P7" s="12"/>
      <c r="Q7" s="12"/>
    </row>
    <row r="8" customFormat="false" ht="15" hidden="false" customHeight="false" outlineLevel="0" collapsed="false">
      <c r="A8" s="12"/>
      <c r="B8" s="12"/>
      <c r="C8" s="12"/>
      <c r="D8" s="12"/>
      <c r="E8" s="12"/>
      <c r="F8" s="12"/>
      <c r="G8" s="12"/>
      <c r="H8" s="12"/>
      <c r="I8" s="12"/>
      <c r="J8" s="12"/>
      <c r="K8" s="12"/>
      <c r="L8" s="12"/>
      <c r="M8" s="12"/>
      <c r="N8" s="12"/>
      <c r="O8" s="12"/>
      <c r="P8" s="12"/>
      <c r="Q8" s="12"/>
    </row>
    <row r="9" customFormat="false" ht="15" hidden="false" customHeight="false" outlineLevel="0" collapsed="false">
      <c r="A9" s="12"/>
      <c r="B9" s="12"/>
      <c r="C9" s="12"/>
      <c r="D9" s="12"/>
      <c r="E9" s="12"/>
      <c r="F9" s="12"/>
      <c r="G9" s="12"/>
      <c r="H9" s="12"/>
      <c r="I9" s="12"/>
      <c r="J9" s="12"/>
      <c r="K9" s="12"/>
      <c r="L9" s="12"/>
      <c r="M9" s="12"/>
      <c r="N9" s="12"/>
      <c r="O9" s="12"/>
      <c r="P9" s="12"/>
      <c r="Q9" s="12"/>
    </row>
    <row r="10" customFormat="false" ht="15" hidden="false" customHeight="false" outlineLevel="0" collapsed="false">
      <c r="A10" s="12"/>
      <c r="B10" s="12"/>
      <c r="C10" s="12"/>
      <c r="D10" s="12"/>
      <c r="E10" s="12"/>
      <c r="F10" s="12"/>
      <c r="G10" s="12"/>
      <c r="H10" s="12"/>
      <c r="I10" s="12"/>
      <c r="J10" s="12"/>
      <c r="K10" s="12"/>
      <c r="L10" s="12"/>
      <c r="M10" s="12"/>
      <c r="N10" s="12"/>
      <c r="O10" s="12"/>
      <c r="P10" s="12"/>
      <c r="Q10" s="12"/>
    </row>
    <row r="11" customFormat="false" ht="15" hidden="false" customHeight="false" outlineLevel="0" collapsed="false">
      <c r="A11" s="12"/>
      <c r="B11" s="12"/>
      <c r="C11" s="12"/>
      <c r="D11" s="12"/>
      <c r="E11" s="12"/>
      <c r="F11" s="12"/>
      <c r="G11" s="12"/>
      <c r="H11" s="12"/>
      <c r="I11" s="12"/>
      <c r="J11" s="12"/>
      <c r="K11" s="12"/>
      <c r="L11" s="12"/>
      <c r="M11" s="12"/>
      <c r="N11" s="12"/>
      <c r="O11" s="12"/>
      <c r="P11" s="12"/>
      <c r="Q11" s="12"/>
    </row>
    <row r="12" customFormat="false" ht="15" hidden="false" customHeight="false" outlineLevel="0" collapsed="false">
      <c r="A12" s="12"/>
      <c r="B12" s="12"/>
      <c r="C12" s="12"/>
      <c r="D12" s="12"/>
      <c r="E12" s="12"/>
      <c r="F12" s="12"/>
      <c r="G12" s="12"/>
      <c r="H12" s="12"/>
      <c r="I12" s="12"/>
      <c r="J12" s="12"/>
      <c r="K12" s="12"/>
      <c r="L12" s="12"/>
      <c r="M12" s="12"/>
      <c r="N12" s="12"/>
      <c r="O12" s="12"/>
      <c r="P12" s="12"/>
      <c r="Q12" s="12"/>
    </row>
    <row r="13" customFormat="false" ht="15" hidden="false" customHeight="false" outlineLevel="0" collapsed="false">
      <c r="A13" s="12"/>
      <c r="B13" s="12"/>
      <c r="C13" s="12"/>
      <c r="D13" s="12"/>
      <c r="E13" s="12"/>
      <c r="F13" s="12"/>
      <c r="G13" s="12"/>
      <c r="H13" s="12"/>
      <c r="I13" s="12"/>
      <c r="J13" s="12"/>
      <c r="K13" s="12"/>
      <c r="L13" s="12"/>
      <c r="M13" s="12"/>
      <c r="N13" s="12"/>
      <c r="O13" s="12"/>
      <c r="P13" s="12"/>
      <c r="Q13" s="12"/>
    </row>
    <row r="14" customFormat="false" ht="15" hidden="false" customHeight="false" outlineLevel="0" collapsed="false">
      <c r="A14" s="12"/>
      <c r="B14" s="12"/>
      <c r="C14" s="12"/>
      <c r="D14" s="12"/>
      <c r="E14" s="12"/>
      <c r="F14" s="12"/>
      <c r="G14" s="12"/>
      <c r="H14" s="12"/>
      <c r="I14" s="12"/>
      <c r="J14" s="12"/>
      <c r="K14" s="12"/>
      <c r="L14" s="12"/>
      <c r="M14" s="12"/>
      <c r="N14" s="12"/>
      <c r="O14" s="12"/>
      <c r="P14" s="12"/>
      <c r="Q14" s="12"/>
    </row>
    <row r="15" customFormat="false" ht="15" hidden="false" customHeight="false" outlineLevel="0" collapsed="false">
      <c r="A15" s="12"/>
      <c r="B15" s="12"/>
      <c r="C15" s="12"/>
      <c r="D15" s="12"/>
      <c r="E15" s="12"/>
      <c r="F15" s="12"/>
      <c r="G15" s="12"/>
      <c r="H15" s="12"/>
      <c r="I15" s="12"/>
      <c r="J15" s="12"/>
      <c r="K15" s="12"/>
      <c r="L15" s="12"/>
      <c r="M15" s="12"/>
      <c r="N15" s="12"/>
      <c r="O15" s="12"/>
      <c r="P15" s="12"/>
      <c r="Q15" s="12"/>
    </row>
    <row r="16" customFormat="false" ht="15" hidden="false" customHeight="false" outlineLevel="0" collapsed="false">
      <c r="A16" s="12"/>
      <c r="B16" s="12"/>
      <c r="C16" s="12"/>
      <c r="D16" s="12"/>
      <c r="E16" s="12"/>
      <c r="F16" s="12"/>
      <c r="G16" s="12"/>
      <c r="H16" s="12"/>
      <c r="I16" s="12"/>
      <c r="J16" s="12"/>
      <c r="K16" s="12"/>
      <c r="L16" s="12"/>
      <c r="M16" s="12"/>
      <c r="N16" s="12"/>
      <c r="O16" s="12"/>
      <c r="P16" s="12"/>
      <c r="Q16" s="12"/>
    </row>
    <row r="17" customFormat="false" ht="15" hidden="false" customHeight="false" outlineLevel="0" collapsed="false">
      <c r="A17" s="12"/>
      <c r="B17" s="12"/>
      <c r="C17" s="12"/>
      <c r="D17" s="12"/>
      <c r="E17" s="12"/>
      <c r="F17" s="12"/>
      <c r="G17" s="12"/>
      <c r="H17" s="12"/>
      <c r="I17" s="12"/>
      <c r="J17" s="12"/>
      <c r="K17" s="12"/>
      <c r="L17" s="12"/>
      <c r="M17" s="12"/>
      <c r="N17" s="12"/>
      <c r="O17" s="12"/>
      <c r="P17" s="12"/>
      <c r="Q17" s="12"/>
    </row>
    <row r="18" customFormat="false" ht="15" hidden="false" customHeight="false" outlineLevel="0" collapsed="false">
      <c r="A18" s="12"/>
      <c r="B18" s="12"/>
      <c r="C18" s="12"/>
      <c r="D18" s="12"/>
      <c r="E18" s="12"/>
      <c r="F18" s="12"/>
      <c r="G18" s="12"/>
      <c r="H18" s="12"/>
      <c r="I18" s="12"/>
      <c r="J18" s="12"/>
      <c r="K18" s="12"/>
      <c r="L18" s="12"/>
      <c r="M18" s="12"/>
      <c r="N18" s="12"/>
      <c r="O18" s="12"/>
      <c r="P18" s="12"/>
      <c r="Q18" s="12"/>
    </row>
    <row r="19" customFormat="false" ht="15" hidden="false" customHeight="false" outlineLevel="0" collapsed="false">
      <c r="A19" s="12"/>
      <c r="B19" s="12"/>
      <c r="C19" s="12"/>
      <c r="D19" s="12"/>
      <c r="E19" s="12"/>
      <c r="F19" s="12"/>
      <c r="G19" s="12"/>
      <c r="H19" s="12"/>
      <c r="I19" s="12"/>
      <c r="J19" s="12"/>
      <c r="K19" s="12"/>
      <c r="L19" s="12"/>
      <c r="M19" s="12"/>
      <c r="N19" s="12"/>
      <c r="O19" s="12"/>
      <c r="P19" s="12"/>
      <c r="Q19" s="12"/>
    </row>
    <row r="20" customFormat="false" ht="15" hidden="false" customHeight="false" outlineLevel="0" collapsed="false">
      <c r="A20" s="12"/>
      <c r="B20" s="12"/>
      <c r="C20" s="12"/>
      <c r="D20" s="12"/>
      <c r="E20" s="12"/>
      <c r="F20" s="12"/>
      <c r="G20" s="12"/>
      <c r="H20" s="12"/>
      <c r="I20" s="12"/>
      <c r="J20" s="12"/>
      <c r="K20" s="12"/>
      <c r="L20" s="12"/>
      <c r="M20" s="12"/>
      <c r="N20" s="12"/>
      <c r="O20" s="12"/>
      <c r="P20" s="12"/>
      <c r="Q20" s="12"/>
    </row>
    <row r="21" customFormat="false" ht="15" hidden="false" customHeight="false" outlineLevel="0" collapsed="false">
      <c r="A21" s="12"/>
      <c r="B21" s="12"/>
      <c r="C21" s="12"/>
      <c r="D21" s="12"/>
      <c r="E21" s="12"/>
      <c r="F21" s="12"/>
      <c r="G21" s="12"/>
      <c r="H21" s="12"/>
      <c r="I21" s="12"/>
      <c r="J21" s="12"/>
      <c r="K21" s="12"/>
      <c r="L21" s="12"/>
      <c r="M21" s="12"/>
      <c r="N21" s="12"/>
      <c r="O21" s="12"/>
      <c r="P21" s="12"/>
      <c r="Q21" s="12"/>
    </row>
    <row r="22" customFormat="false" ht="15" hidden="false" customHeight="false" outlineLevel="0" collapsed="false">
      <c r="A22" s="12"/>
      <c r="B22" s="12"/>
      <c r="C22" s="12"/>
      <c r="D22" s="12"/>
      <c r="E22" s="12"/>
      <c r="F22" s="12"/>
      <c r="G22" s="12"/>
      <c r="H22" s="12"/>
      <c r="I22" s="12"/>
      <c r="J22" s="12"/>
      <c r="K22" s="12"/>
      <c r="L22" s="12"/>
      <c r="M22" s="12"/>
      <c r="N22" s="12"/>
      <c r="O22" s="12"/>
      <c r="P22" s="12"/>
      <c r="Q22" s="12"/>
    </row>
    <row r="23" customFormat="false" ht="15" hidden="false" customHeight="false" outlineLevel="0" collapsed="false">
      <c r="A23" s="12"/>
      <c r="B23" s="12"/>
      <c r="C23" s="12"/>
      <c r="D23" s="12"/>
      <c r="E23" s="12"/>
      <c r="F23" s="12"/>
      <c r="G23" s="12"/>
      <c r="H23" s="12"/>
      <c r="I23" s="12"/>
      <c r="J23" s="12"/>
      <c r="K23" s="12"/>
      <c r="L23" s="12"/>
      <c r="M23" s="12"/>
      <c r="N23" s="12"/>
      <c r="O23" s="12"/>
      <c r="P23" s="12"/>
      <c r="Q23" s="12"/>
    </row>
    <row r="24" customFormat="false" ht="15" hidden="false" customHeight="false" outlineLevel="0" collapsed="false">
      <c r="A24" s="12"/>
      <c r="B24" s="12"/>
      <c r="C24" s="12"/>
      <c r="D24" s="12"/>
      <c r="E24" s="12"/>
      <c r="F24" s="12"/>
      <c r="G24" s="12"/>
      <c r="H24" s="12"/>
      <c r="I24" s="12"/>
      <c r="J24" s="12"/>
      <c r="K24" s="12"/>
      <c r="L24" s="12"/>
      <c r="M24" s="12"/>
      <c r="N24" s="12"/>
      <c r="O24" s="12"/>
      <c r="P24" s="12"/>
      <c r="Q24" s="12"/>
    </row>
    <row r="25" customFormat="false" ht="15" hidden="false" customHeight="false" outlineLevel="0" collapsed="false">
      <c r="A25" s="12"/>
      <c r="B25" s="12"/>
      <c r="C25" s="12"/>
      <c r="D25" s="12"/>
      <c r="E25" s="12"/>
      <c r="F25" s="12"/>
      <c r="G25" s="12"/>
      <c r="H25" s="12"/>
      <c r="I25" s="12"/>
      <c r="J25" s="12"/>
      <c r="K25" s="12"/>
      <c r="L25" s="12"/>
      <c r="M25" s="12"/>
      <c r="N25" s="12"/>
      <c r="O25" s="12"/>
      <c r="P25" s="12"/>
      <c r="Q25" s="12"/>
    </row>
    <row r="26" customFormat="false" ht="15" hidden="false" customHeight="false" outlineLevel="0" collapsed="false">
      <c r="A26" s="12"/>
      <c r="B26" s="12"/>
      <c r="C26" s="12"/>
      <c r="D26" s="12"/>
      <c r="E26" s="12"/>
      <c r="F26" s="12"/>
      <c r="G26" s="12"/>
      <c r="H26" s="12"/>
      <c r="I26" s="12"/>
      <c r="J26" s="12"/>
      <c r="K26" s="12"/>
      <c r="L26" s="12"/>
      <c r="M26" s="12"/>
      <c r="N26" s="12"/>
      <c r="O26" s="12"/>
      <c r="P26" s="12"/>
      <c r="Q26" s="12"/>
    </row>
    <row r="27" customFormat="false" ht="15" hidden="false" customHeight="false" outlineLevel="0" collapsed="false">
      <c r="A27" s="12"/>
      <c r="B27" s="12"/>
      <c r="C27" s="12"/>
      <c r="D27" s="12"/>
      <c r="E27" s="12"/>
      <c r="F27" s="12"/>
      <c r="G27" s="12"/>
      <c r="H27" s="12"/>
      <c r="I27" s="12"/>
      <c r="J27" s="12"/>
      <c r="K27" s="12"/>
      <c r="L27" s="12"/>
      <c r="M27" s="12"/>
      <c r="N27" s="12"/>
      <c r="O27" s="12"/>
      <c r="P27" s="12"/>
      <c r="Q27" s="12"/>
    </row>
    <row r="28" customFormat="false" ht="15" hidden="false" customHeight="false" outlineLevel="0" collapsed="false">
      <c r="A28" s="12"/>
      <c r="B28" s="12"/>
      <c r="C28" s="12"/>
      <c r="D28" s="12"/>
      <c r="E28" s="12"/>
      <c r="F28" s="12"/>
      <c r="G28" s="12"/>
      <c r="H28" s="12"/>
      <c r="I28" s="12"/>
      <c r="J28" s="12"/>
      <c r="K28" s="12"/>
      <c r="L28" s="12"/>
      <c r="M28" s="12"/>
      <c r="N28" s="12"/>
      <c r="O28" s="12"/>
      <c r="P28" s="12"/>
      <c r="Q28" s="12"/>
    </row>
    <row r="29" customFormat="false" ht="15" hidden="false" customHeight="false" outlineLevel="0" collapsed="false">
      <c r="A29" s="12"/>
      <c r="B29" s="12"/>
      <c r="C29" s="12"/>
      <c r="D29" s="12"/>
      <c r="E29" s="12"/>
      <c r="F29" s="12"/>
      <c r="G29" s="12"/>
      <c r="H29" s="12"/>
      <c r="I29" s="12"/>
      <c r="J29" s="12"/>
      <c r="K29" s="12"/>
      <c r="L29" s="12"/>
      <c r="M29" s="12"/>
      <c r="N29" s="12"/>
      <c r="O29" s="12"/>
      <c r="P29" s="12"/>
      <c r="Q29" s="12"/>
    </row>
    <row r="30" customFormat="false" ht="15" hidden="false" customHeight="false" outlineLevel="0" collapsed="false">
      <c r="A30" s="12"/>
      <c r="B30" s="12"/>
      <c r="C30" s="12"/>
      <c r="D30" s="12"/>
      <c r="E30" s="12"/>
      <c r="F30" s="12"/>
      <c r="G30" s="12"/>
      <c r="H30" s="12"/>
      <c r="I30" s="12"/>
      <c r="J30" s="12"/>
      <c r="K30" s="12"/>
      <c r="L30" s="12"/>
      <c r="M30" s="12"/>
      <c r="N30" s="12"/>
      <c r="O30" s="12"/>
      <c r="P30" s="12"/>
      <c r="Q30" s="12"/>
    </row>
    <row r="31" customFormat="false" ht="15" hidden="false" customHeight="false" outlineLevel="0" collapsed="false">
      <c r="A31" s="12"/>
      <c r="B31" s="12"/>
      <c r="C31" s="12"/>
      <c r="D31" s="12"/>
      <c r="E31" s="12"/>
      <c r="F31" s="12"/>
      <c r="G31" s="12"/>
      <c r="H31" s="12"/>
      <c r="I31" s="12"/>
      <c r="J31" s="12"/>
      <c r="K31" s="12"/>
      <c r="L31" s="12"/>
      <c r="M31" s="12"/>
      <c r="N31" s="12"/>
      <c r="O31" s="12"/>
      <c r="P31" s="12"/>
      <c r="Q31" s="12"/>
    </row>
    <row r="32" customFormat="false" ht="15" hidden="false" customHeight="false" outlineLevel="0" collapsed="false">
      <c r="A32" s="12"/>
      <c r="B32" s="12"/>
      <c r="C32" s="12"/>
      <c r="D32" s="12"/>
      <c r="E32" s="12"/>
      <c r="F32" s="12"/>
      <c r="G32" s="12"/>
      <c r="H32" s="12"/>
      <c r="I32" s="12"/>
      <c r="J32" s="12"/>
      <c r="K32" s="12"/>
      <c r="L32" s="12"/>
      <c r="M32" s="12"/>
      <c r="N32" s="12"/>
      <c r="O32" s="12"/>
      <c r="P32" s="12"/>
      <c r="Q32" s="12"/>
    </row>
    <row r="33" customFormat="false" ht="15" hidden="false" customHeight="false" outlineLevel="0" collapsed="false">
      <c r="A33" s="12"/>
      <c r="B33" s="12"/>
      <c r="C33" s="12"/>
      <c r="D33" s="12"/>
      <c r="E33" s="12"/>
      <c r="F33" s="12"/>
      <c r="G33" s="12"/>
      <c r="H33" s="12"/>
      <c r="I33" s="12"/>
      <c r="J33" s="12"/>
      <c r="K33" s="12"/>
      <c r="L33" s="12"/>
      <c r="M33" s="12"/>
      <c r="N33" s="12"/>
      <c r="O33" s="12"/>
      <c r="P33" s="12"/>
      <c r="Q33" s="12"/>
    </row>
    <row r="34" customFormat="false" ht="15" hidden="false" customHeight="false" outlineLevel="0" collapsed="false">
      <c r="A34" s="12"/>
      <c r="B34" s="12"/>
      <c r="C34" s="12"/>
      <c r="D34" s="12"/>
      <c r="E34" s="12"/>
      <c r="F34" s="12"/>
      <c r="G34" s="12"/>
      <c r="H34" s="12"/>
      <c r="I34" s="12"/>
      <c r="J34" s="12"/>
      <c r="K34" s="12"/>
      <c r="L34" s="12"/>
      <c r="M34" s="12"/>
      <c r="N34" s="12"/>
      <c r="O34" s="12"/>
      <c r="P34" s="12"/>
      <c r="Q34" s="12"/>
    </row>
  </sheetData>
  <autoFilter ref="A1:Q34"/>
  <dataValidations count="3">
    <dataValidation allowBlank="true" error="Pick a value from the list" errorStyle="stop" errorTitle="Invalid value" operator="between" showDropDown="false" showErrorMessage="false" showInputMessage="false" sqref="B3:B34" type="list">
      <formula1>"dealer,distributor,partner showroom,HQ showroom"</formula1>
      <formula2>0</formula2>
    </dataValidation>
    <dataValidation allowBlank="true" error="Pick a value from the list" errorStyle="stop" errorTitle="Invalid value" operator="between" showDropDown="false" showErrorMessage="false" showInputMessage="false" sqref="Q3:Q34" type="list">
      <formula1>"prospect,in talks,signed,live"</formula1>
      <formula2>0</formula2>
    </dataValidation>
    <dataValidation allowBlank="true" error="Pick a value from the list" errorStyle="stop" errorTitle="Invalid value" operator="between" showDropDown="false" showErrorMessage="false" showInputMessage="false" sqref="P3:P34" type="list">
      <formula1>"Y,N,n/a"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36"/>
    <col collapsed="false" customWidth="true" hidden="false" outlineLevel="0" max="2" min="2" style="0" width="14"/>
    <col collapsed="false" customWidth="true" hidden="false" outlineLevel="0" max="3" min="3" style="0" width="40"/>
    <col collapsed="false" customWidth="true" hidden="false" outlineLevel="0" max="4" min="4" style="0" width="12"/>
    <col collapsed="false" customWidth="true" hidden="false" outlineLevel="0" max="5" min="5" style="0" width="20"/>
    <col collapsed="false" customWidth="true" hidden="false" outlineLevel="0" max="8" min="6" style="0" width="12"/>
    <col collapsed="false" customWidth="true" hidden="false" outlineLevel="0" max="9" min="9" style="0" width="24"/>
    <col collapsed="false" customWidth="true" hidden="false" outlineLevel="0" max="10" min="10" style="0" width="10"/>
    <col collapsed="false" customWidth="true" hidden="false" outlineLevel="0" max="11" min="11" style="0" width="8"/>
    <col collapsed="false" customWidth="true" hidden="false" outlineLevel="0" max="12" min="12" style="0" width="44"/>
  </cols>
  <sheetData>
    <row r="1" customFormat="false" ht="31.5" hidden="false" customHeight="true" outlineLevel="0" collapsed="false">
      <c r="A1" s="4" t="s">
        <v>1269</v>
      </c>
      <c r="B1" s="4" t="s">
        <v>696</v>
      </c>
      <c r="C1" s="4" t="s">
        <v>1270</v>
      </c>
      <c r="D1" s="4" t="s">
        <v>26</v>
      </c>
      <c r="E1" s="4" t="s">
        <v>1271</v>
      </c>
      <c r="F1" s="4" t="s">
        <v>27</v>
      </c>
      <c r="G1" s="4" t="s">
        <v>1272</v>
      </c>
      <c r="H1" s="4" t="s">
        <v>95</v>
      </c>
      <c r="I1" s="4" t="s">
        <v>1273</v>
      </c>
      <c r="J1" s="4" t="s">
        <v>1274</v>
      </c>
      <c r="K1" s="4" t="s">
        <v>1275</v>
      </c>
      <c r="L1" s="4" t="s">
        <v>31</v>
      </c>
    </row>
    <row r="2" customFormat="false" ht="63.75" hidden="false" customHeight="true" outlineLevel="0" collapsed="false">
      <c r="A2" s="7"/>
      <c r="B2" s="7" t="s">
        <v>1276</v>
      </c>
      <c r="C2" s="7"/>
      <c r="D2" s="7"/>
      <c r="E2" s="7" t="s">
        <v>1277</v>
      </c>
      <c r="F2" s="7" t="s">
        <v>182</v>
      </c>
      <c r="G2" s="7" t="s">
        <v>43</v>
      </c>
      <c r="H2" s="7" t="s">
        <v>43</v>
      </c>
      <c r="I2" s="7"/>
      <c r="J2" s="7" t="s">
        <v>451</v>
      </c>
      <c r="K2" s="7" t="s">
        <v>1278</v>
      </c>
      <c r="L2" s="7"/>
    </row>
    <row r="3" customFormat="false" ht="48" hidden="false" customHeight="true" outlineLevel="0" collapsed="false">
      <c r="A3" s="10" t="s">
        <v>1279</v>
      </c>
      <c r="B3" s="10" t="s">
        <v>1280</v>
      </c>
      <c r="C3" s="10" t="s">
        <v>1281</v>
      </c>
      <c r="D3" s="10" t="s">
        <v>55</v>
      </c>
      <c r="E3" s="10" t="s">
        <v>1282</v>
      </c>
      <c r="F3" s="10" t="s">
        <v>95</v>
      </c>
      <c r="G3" s="10" t="s">
        <v>1283</v>
      </c>
      <c r="H3" s="10" t="s">
        <v>1216</v>
      </c>
      <c r="I3" s="10" t="s">
        <v>1284</v>
      </c>
      <c r="J3" s="10" t="s">
        <v>548</v>
      </c>
      <c r="K3" s="10" t="n">
        <v>0</v>
      </c>
      <c r="L3" s="10" t="s">
        <v>1285</v>
      </c>
    </row>
    <row r="4" customFormat="false" ht="27.75" hidden="false" customHeight="true" outlineLevel="0" collapsed="false">
      <c r="A4" s="11" t="s">
        <v>1286</v>
      </c>
      <c r="B4" s="11" t="s">
        <v>1287</v>
      </c>
      <c r="C4" s="12"/>
      <c r="D4" s="12"/>
      <c r="E4" s="12"/>
      <c r="F4" s="11" t="s">
        <v>46</v>
      </c>
      <c r="G4" s="12"/>
      <c r="H4" s="12"/>
      <c r="I4" s="12"/>
      <c r="J4" s="12"/>
      <c r="K4" s="12"/>
      <c r="L4" s="11" t="s">
        <v>1288</v>
      </c>
    </row>
    <row r="5" customFormat="false" ht="15" hidden="false" customHeight="false" outlineLevel="0" collapsed="false">
      <c r="A5" s="11" t="s">
        <v>1289</v>
      </c>
      <c r="B5" s="11" t="s">
        <v>1280</v>
      </c>
      <c r="C5" s="12"/>
      <c r="D5" s="12"/>
      <c r="E5" s="12"/>
      <c r="F5" s="11" t="s">
        <v>46</v>
      </c>
      <c r="G5" s="12"/>
      <c r="H5" s="12"/>
      <c r="I5" s="12"/>
      <c r="J5" s="12"/>
      <c r="K5" s="12"/>
      <c r="L5" s="11" t="s">
        <v>1290</v>
      </c>
    </row>
    <row r="6" customFormat="false" ht="15" hidden="false" customHeight="false" outlineLevel="0" collapsed="false">
      <c r="A6" s="11" t="s">
        <v>1279</v>
      </c>
      <c r="B6" s="11" t="s">
        <v>1280</v>
      </c>
      <c r="C6" s="12"/>
      <c r="D6" s="12"/>
      <c r="E6" s="12"/>
      <c r="F6" s="11" t="s">
        <v>46</v>
      </c>
      <c r="G6" s="12"/>
      <c r="H6" s="12"/>
      <c r="I6" s="12"/>
      <c r="J6" s="12"/>
      <c r="K6" s="12"/>
      <c r="L6" s="11" t="s">
        <v>1291</v>
      </c>
    </row>
    <row r="7" customFormat="false" ht="15" hidden="false" customHeight="false" outlineLevel="0" collapsed="false">
      <c r="A7" s="11" t="s">
        <v>1292</v>
      </c>
      <c r="B7" s="11" t="s">
        <v>1293</v>
      </c>
      <c r="C7" s="12"/>
      <c r="D7" s="12"/>
      <c r="E7" s="12"/>
      <c r="F7" s="11" t="s">
        <v>46</v>
      </c>
      <c r="G7" s="12"/>
      <c r="H7" s="12"/>
      <c r="I7" s="12"/>
      <c r="J7" s="12"/>
      <c r="K7" s="12"/>
      <c r="L7" s="11" t="s">
        <v>1294</v>
      </c>
    </row>
    <row r="8" customFormat="false" ht="15" hidden="false" customHeight="false" outlineLevel="0" collapsed="false">
      <c r="A8" s="11" t="s">
        <v>1295</v>
      </c>
      <c r="B8" s="11" t="s">
        <v>1280</v>
      </c>
      <c r="C8" s="12"/>
      <c r="D8" s="12"/>
      <c r="E8" s="12"/>
      <c r="F8" s="11" t="s">
        <v>46</v>
      </c>
      <c r="G8" s="12"/>
      <c r="H8" s="12"/>
      <c r="I8" s="12"/>
      <c r="J8" s="12"/>
      <c r="K8" s="12"/>
      <c r="L8" s="12"/>
    </row>
    <row r="9" customFormat="false" ht="15" hidden="false" customHeight="false" outlineLevel="0" collapsed="false">
      <c r="A9" s="11" t="s">
        <v>1296</v>
      </c>
      <c r="B9" s="11" t="s">
        <v>1297</v>
      </c>
      <c r="C9" s="12"/>
      <c r="D9" s="12"/>
      <c r="E9" s="12"/>
      <c r="F9" s="11" t="s">
        <v>46</v>
      </c>
      <c r="G9" s="12"/>
      <c r="H9" s="12"/>
      <c r="I9" s="12"/>
      <c r="J9" s="12"/>
      <c r="K9" s="12"/>
      <c r="L9" s="11" t="s">
        <v>1298</v>
      </c>
    </row>
    <row r="10" customFormat="false" ht="15" hidden="false" customHeight="false" outlineLevel="0" collapsed="false">
      <c r="A10" s="11" t="s">
        <v>1299</v>
      </c>
      <c r="B10" s="11" t="s">
        <v>1293</v>
      </c>
      <c r="C10" s="12"/>
      <c r="D10" s="12"/>
      <c r="E10" s="12"/>
      <c r="F10" s="11" t="s">
        <v>46</v>
      </c>
      <c r="G10" s="12"/>
      <c r="H10" s="12"/>
      <c r="I10" s="12"/>
      <c r="J10" s="12"/>
      <c r="K10" s="12"/>
      <c r="L10" s="11" t="s">
        <v>1300</v>
      </c>
    </row>
    <row r="11" customFormat="false" ht="15" hidden="false" customHeight="false" outlineLevel="0" collapsed="false">
      <c r="A11" s="11" t="s">
        <v>1301</v>
      </c>
      <c r="B11" s="11" t="s">
        <v>1287</v>
      </c>
      <c r="C11" s="12"/>
      <c r="D11" s="12"/>
      <c r="E11" s="12"/>
      <c r="F11" s="11" t="s">
        <v>46</v>
      </c>
      <c r="G11" s="12"/>
      <c r="H11" s="12"/>
      <c r="I11" s="12"/>
      <c r="J11" s="12"/>
      <c r="K11" s="12"/>
      <c r="L11" s="11" t="s">
        <v>1302</v>
      </c>
    </row>
    <row r="12" customFormat="false" ht="15" hidden="false" customHeight="false" outlineLevel="0" collapsed="false">
      <c r="A12" s="11" t="s">
        <v>1303</v>
      </c>
      <c r="B12" s="11" t="s">
        <v>1304</v>
      </c>
      <c r="C12" s="12"/>
      <c r="D12" s="12"/>
      <c r="E12" s="12"/>
      <c r="F12" s="11" t="s">
        <v>46</v>
      </c>
      <c r="G12" s="12"/>
      <c r="H12" s="12"/>
      <c r="I12" s="12"/>
      <c r="J12" s="12"/>
      <c r="K12" s="12"/>
      <c r="L12" s="12"/>
    </row>
    <row r="13" customFormat="false" ht="15" hidden="false" customHeight="false" outlineLevel="0" collapsed="false">
      <c r="A13" s="11" t="s">
        <v>1305</v>
      </c>
      <c r="B13" s="11" t="s">
        <v>1306</v>
      </c>
      <c r="C13" s="12"/>
      <c r="D13" s="12"/>
      <c r="E13" s="12"/>
      <c r="F13" s="11" t="s">
        <v>46</v>
      </c>
      <c r="G13" s="12"/>
      <c r="H13" s="12"/>
      <c r="I13" s="12"/>
      <c r="J13" s="12"/>
      <c r="K13" s="12"/>
      <c r="L13" s="11" t="s">
        <v>1307</v>
      </c>
    </row>
    <row r="14" customFormat="false" ht="15" hidden="false" customHeight="false" outlineLevel="0" collapsed="false">
      <c r="A14" s="11" t="s">
        <v>1308</v>
      </c>
      <c r="B14" s="11" t="s">
        <v>1309</v>
      </c>
      <c r="C14" s="12"/>
      <c r="D14" s="12"/>
      <c r="E14" s="12"/>
      <c r="F14" s="11" t="s">
        <v>46</v>
      </c>
      <c r="G14" s="12"/>
      <c r="H14" s="12"/>
      <c r="I14" s="12"/>
      <c r="J14" s="12"/>
      <c r="K14" s="12"/>
      <c r="L14" s="11" t="s">
        <v>1310</v>
      </c>
    </row>
    <row r="15" customFormat="false" ht="15" hidden="false" customHeight="false" outlineLevel="0" collapsed="false">
      <c r="A15" s="12"/>
      <c r="B15" s="12"/>
      <c r="C15" s="12"/>
      <c r="D15" s="12"/>
      <c r="E15" s="12"/>
      <c r="F15" s="12"/>
      <c r="G15" s="12"/>
      <c r="H15" s="12"/>
      <c r="I15" s="12"/>
      <c r="J15" s="12"/>
      <c r="K15" s="12"/>
      <c r="L15" s="12"/>
    </row>
    <row r="16" customFormat="false" ht="15" hidden="false" customHeight="false" outlineLevel="0" collapsed="false">
      <c r="A16" s="12"/>
      <c r="B16" s="12"/>
      <c r="C16" s="12"/>
      <c r="D16" s="12"/>
      <c r="E16" s="12"/>
      <c r="F16" s="12"/>
      <c r="G16" s="12"/>
      <c r="H16" s="12"/>
      <c r="I16" s="12"/>
      <c r="J16" s="12"/>
      <c r="K16" s="12"/>
      <c r="L16" s="12"/>
    </row>
    <row r="17" customFormat="false" ht="15" hidden="false" customHeight="false" outlineLevel="0" collapsed="false">
      <c r="A17" s="12"/>
      <c r="B17" s="12"/>
      <c r="C17" s="12"/>
      <c r="D17" s="12"/>
      <c r="E17" s="12"/>
      <c r="F17" s="12"/>
      <c r="G17" s="12"/>
      <c r="H17" s="12"/>
      <c r="I17" s="12"/>
      <c r="J17" s="12"/>
      <c r="K17" s="12"/>
      <c r="L17" s="12"/>
    </row>
    <row r="18" customFormat="false" ht="15" hidden="false" customHeight="false" outlineLevel="0" collapsed="false">
      <c r="A18" s="12"/>
      <c r="B18" s="12"/>
      <c r="C18" s="12"/>
      <c r="D18" s="12"/>
      <c r="E18" s="12"/>
      <c r="F18" s="12"/>
      <c r="G18" s="12"/>
      <c r="H18" s="12"/>
      <c r="I18" s="12"/>
      <c r="J18" s="12"/>
      <c r="K18" s="12"/>
      <c r="L18" s="12"/>
    </row>
    <row r="19" customFormat="false" ht="15" hidden="false" customHeight="false" outlineLevel="0" collapsed="false">
      <c r="A19" s="12"/>
      <c r="B19" s="12"/>
      <c r="C19" s="12"/>
      <c r="D19" s="12"/>
      <c r="E19" s="12"/>
      <c r="F19" s="12"/>
      <c r="G19" s="12"/>
      <c r="H19" s="12"/>
      <c r="I19" s="12"/>
      <c r="J19" s="12"/>
      <c r="K19" s="12"/>
      <c r="L19" s="12"/>
    </row>
    <row r="20" customFormat="false" ht="15" hidden="false" customHeight="false" outlineLevel="0" collapsed="false">
      <c r="A20" s="12"/>
      <c r="B20" s="12"/>
      <c r="C20" s="12"/>
      <c r="D20" s="12"/>
      <c r="E20" s="12"/>
      <c r="F20" s="12"/>
      <c r="G20" s="12"/>
      <c r="H20" s="12"/>
      <c r="I20" s="12"/>
      <c r="J20" s="12"/>
      <c r="K20" s="12"/>
      <c r="L20" s="12"/>
    </row>
    <row r="21" customFormat="false" ht="15" hidden="false" customHeight="false" outlineLevel="0" collapsed="false">
      <c r="A21" s="12"/>
      <c r="B21" s="12"/>
      <c r="C21" s="12"/>
      <c r="D21" s="12"/>
      <c r="E21" s="12"/>
      <c r="F21" s="12"/>
      <c r="G21" s="12"/>
      <c r="H21" s="12"/>
      <c r="I21" s="12"/>
      <c r="J21" s="12"/>
      <c r="K21" s="12"/>
      <c r="L21" s="12"/>
    </row>
    <row r="22" customFormat="false" ht="15" hidden="false" customHeight="false" outlineLevel="0" collapsed="false">
      <c r="A22" s="12"/>
      <c r="B22" s="12"/>
      <c r="C22" s="12"/>
      <c r="D22" s="12"/>
      <c r="E22" s="12"/>
      <c r="F22" s="12"/>
      <c r="G22" s="12"/>
      <c r="H22" s="12"/>
      <c r="I22" s="12"/>
      <c r="J22" s="12"/>
      <c r="K22" s="12"/>
      <c r="L22" s="12"/>
    </row>
    <row r="23" customFormat="false" ht="15" hidden="false" customHeight="false" outlineLevel="0" collapsed="false">
      <c r="A23" s="12"/>
      <c r="B23" s="12"/>
      <c r="C23" s="12"/>
      <c r="D23" s="12"/>
      <c r="E23" s="12"/>
      <c r="F23" s="12"/>
      <c r="G23" s="12"/>
      <c r="H23" s="12"/>
      <c r="I23" s="12"/>
      <c r="J23" s="12"/>
      <c r="K23" s="12"/>
      <c r="L23" s="12"/>
    </row>
    <row r="24" customFormat="false" ht="15" hidden="false" customHeight="false" outlineLevel="0" collapsed="false">
      <c r="A24" s="12"/>
      <c r="B24" s="12"/>
      <c r="C24" s="12"/>
      <c r="D24" s="12"/>
      <c r="E24" s="12"/>
      <c r="F24" s="12"/>
      <c r="G24" s="12"/>
      <c r="H24" s="12"/>
      <c r="I24" s="12"/>
      <c r="J24" s="12"/>
      <c r="K24" s="12"/>
      <c r="L24" s="12"/>
    </row>
    <row r="25" customFormat="false" ht="15" hidden="false" customHeight="false" outlineLevel="0" collapsed="false">
      <c r="A25" s="12"/>
      <c r="B25" s="12"/>
      <c r="C25" s="12"/>
      <c r="D25" s="12"/>
      <c r="E25" s="12"/>
      <c r="F25" s="12"/>
      <c r="G25" s="12"/>
      <c r="H25" s="12"/>
      <c r="I25" s="12"/>
      <c r="J25" s="12"/>
      <c r="K25" s="12"/>
      <c r="L25" s="12"/>
    </row>
    <row r="26" customFormat="false" ht="15" hidden="false" customHeight="false" outlineLevel="0" collapsed="false">
      <c r="A26" s="12"/>
      <c r="B26" s="12"/>
      <c r="C26" s="12"/>
      <c r="D26" s="12"/>
      <c r="E26" s="12"/>
      <c r="F26" s="12"/>
      <c r="G26" s="12"/>
      <c r="H26" s="12"/>
      <c r="I26" s="12"/>
      <c r="J26" s="12"/>
      <c r="K26" s="12"/>
      <c r="L26" s="12"/>
    </row>
    <row r="27" customFormat="false" ht="15" hidden="false" customHeight="false" outlineLevel="0" collapsed="false">
      <c r="A27" s="12"/>
      <c r="B27" s="12"/>
      <c r="C27" s="12"/>
      <c r="D27" s="12"/>
      <c r="E27" s="12"/>
      <c r="F27" s="12"/>
      <c r="G27" s="12"/>
      <c r="H27" s="12"/>
      <c r="I27" s="12"/>
      <c r="J27" s="12"/>
      <c r="K27" s="12"/>
      <c r="L27" s="12"/>
    </row>
    <row r="28" customFormat="false" ht="15" hidden="false" customHeight="false" outlineLevel="0" collapsed="false">
      <c r="A28" s="12"/>
      <c r="B28" s="12"/>
      <c r="C28" s="12"/>
      <c r="D28" s="12"/>
      <c r="E28" s="12"/>
      <c r="F28" s="12"/>
      <c r="G28" s="12"/>
      <c r="H28" s="12"/>
      <c r="I28" s="12"/>
      <c r="J28" s="12"/>
      <c r="K28" s="12"/>
      <c r="L28" s="12"/>
    </row>
    <row r="29" customFormat="false" ht="15" hidden="false" customHeight="false" outlineLevel="0" collapsed="false">
      <c r="A29" s="12"/>
      <c r="B29" s="12"/>
      <c r="C29" s="12"/>
      <c r="D29" s="12"/>
      <c r="E29" s="12"/>
      <c r="F29" s="12"/>
      <c r="G29" s="12"/>
      <c r="H29" s="12"/>
      <c r="I29" s="12"/>
      <c r="J29" s="12"/>
      <c r="K29" s="12"/>
      <c r="L29" s="12"/>
    </row>
    <row r="30" customFormat="false" ht="15" hidden="false" customHeight="false" outlineLevel="0" collapsed="false">
      <c r="A30" s="12"/>
      <c r="B30" s="12"/>
      <c r="C30" s="12"/>
      <c r="D30" s="12"/>
      <c r="E30" s="12"/>
      <c r="F30" s="12"/>
      <c r="G30" s="12"/>
      <c r="H30" s="12"/>
      <c r="I30" s="12"/>
      <c r="J30" s="12"/>
      <c r="K30" s="12"/>
      <c r="L30" s="12"/>
    </row>
    <row r="31" customFormat="false" ht="15" hidden="false" customHeight="false" outlineLevel="0" collapsed="false">
      <c r="A31" s="12"/>
      <c r="B31" s="12"/>
      <c r="C31" s="12"/>
      <c r="D31" s="12"/>
      <c r="E31" s="12"/>
      <c r="F31" s="12"/>
      <c r="G31" s="12"/>
      <c r="H31" s="12"/>
      <c r="I31" s="12"/>
      <c r="J31" s="12"/>
      <c r="K31" s="12"/>
      <c r="L31" s="12"/>
    </row>
    <row r="32" customFormat="false" ht="15" hidden="false" customHeight="false" outlineLevel="0" collapsed="false">
      <c r="A32" s="12"/>
      <c r="B32" s="12"/>
      <c r="C32" s="12"/>
      <c r="D32" s="12"/>
      <c r="E32" s="12"/>
      <c r="F32" s="12"/>
      <c r="G32" s="12"/>
      <c r="H32" s="12"/>
      <c r="I32" s="12"/>
      <c r="J32" s="12"/>
      <c r="K32" s="12"/>
      <c r="L32" s="12"/>
    </row>
    <row r="33" customFormat="false" ht="15" hidden="false" customHeight="false" outlineLevel="0" collapsed="false">
      <c r="A33" s="12"/>
      <c r="B33" s="12"/>
      <c r="C33" s="12"/>
      <c r="D33" s="12"/>
      <c r="E33" s="12"/>
      <c r="F33" s="12"/>
      <c r="G33" s="12"/>
      <c r="H33" s="12"/>
      <c r="I33" s="12"/>
      <c r="J33" s="12"/>
      <c r="K33" s="12"/>
      <c r="L33" s="12"/>
    </row>
    <row r="34" customFormat="false" ht="15" hidden="false" customHeight="false" outlineLevel="0" collapsed="false">
      <c r="A34" s="12"/>
      <c r="B34" s="12"/>
      <c r="C34" s="12"/>
      <c r="D34" s="12"/>
      <c r="E34" s="12"/>
      <c r="F34" s="12"/>
      <c r="G34" s="12"/>
      <c r="H34" s="12"/>
      <c r="I34" s="12"/>
      <c r="J34" s="12"/>
      <c r="K34" s="12"/>
      <c r="L34" s="12"/>
    </row>
  </sheetData>
  <autoFilter ref="A1:L34"/>
  <dataValidations count="3">
    <dataValidation allowBlank="true" error="Pick a value from the list" errorStyle="stop" errorTitle="Invalid value" operator="between" showDropDown="false" showErrorMessage="false" showInputMessage="false" sqref="F3:F34" type="list">
      <formula1>"Backlog,Briefed,Drafting,Review,Translation,Ready for dev,Live,On hold"</formula1>
      <formula2>0</formula2>
    </dataValidation>
    <dataValidation allowBlank="true" error="Pick a value from the list" errorStyle="stop" errorTitle="Invalid value" operator="between" showDropDown="false" showErrorMessage="false" showInputMessage="false" sqref="B3:B34" type="list">
      <formula1>"directory,BIM library,press,marketplace,review,social,dealer links"</formula1>
      <formula2>0</formula2>
    </dataValidation>
    <dataValidation allowBlank="true" error="Pick a value from the list" errorStyle="stop" errorTitle="Invalid value" operator="between" showDropDown="false" showErrorMessage="false" showInputMessage="false" sqref="J3:J34"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12"/>
    <col collapsed="false" customWidth="true" hidden="false" outlineLevel="0" max="5" min="4" style="0" width="9"/>
    <col collapsed="false" customWidth="true" hidden="false" outlineLevel="0" max="9" min="6" style="0" width="40"/>
    <col collapsed="false" customWidth="true" hidden="false" outlineLevel="0" max="10" min="10" style="0" width="18"/>
    <col collapsed="false" customWidth="true" hidden="false" outlineLevel="0" max="11" min="11" style="0" width="8"/>
    <col collapsed="false" customWidth="true" hidden="false" outlineLevel="0" max="13" min="12" style="0" width="24"/>
  </cols>
  <sheetData>
    <row r="1" customFormat="false" ht="31.5" hidden="false" customHeight="true" outlineLevel="0" collapsed="false">
      <c r="A1" s="4" t="s">
        <v>1311</v>
      </c>
      <c r="B1" s="4" t="s">
        <v>1312</v>
      </c>
      <c r="C1" s="4" t="s">
        <v>696</v>
      </c>
      <c r="D1" s="4" t="s">
        <v>1313</v>
      </c>
      <c r="E1" s="4" t="s">
        <v>1314</v>
      </c>
      <c r="F1" s="4" t="s">
        <v>701</v>
      </c>
      <c r="G1" s="4" t="s">
        <v>702</v>
      </c>
      <c r="H1" s="4" t="s">
        <v>703</v>
      </c>
      <c r="I1" s="4" t="s">
        <v>704</v>
      </c>
      <c r="J1" s="4" t="s">
        <v>1315</v>
      </c>
      <c r="K1" s="4" t="s">
        <v>1316</v>
      </c>
      <c r="L1" s="4" t="s">
        <v>1317</v>
      </c>
      <c r="M1" s="4" t="s">
        <v>31</v>
      </c>
    </row>
    <row r="2" customFormat="false" ht="63.75" hidden="false" customHeight="true" outlineLevel="0" collapsed="false">
      <c r="A2" s="7" t="s">
        <v>1318</v>
      </c>
      <c r="B2" s="7" t="s">
        <v>427</v>
      </c>
      <c r="C2" s="7" t="s">
        <v>1319</v>
      </c>
      <c r="D2" s="7" t="s">
        <v>1320</v>
      </c>
      <c r="E2" s="7"/>
      <c r="F2" s="7" t="s">
        <v>1321</v>
      </c>
      <c r="G2" s="7"/>
      <c r="H2" s="7"/>
      <c r="I2" s="7"/>
      <c r="J2" s="7"/>
      <c r="K2" s="7" t="s">
        <v>451</v>
      </c>
      <c r="L2" s="7" t="s">
        <v>452</v>
      </c>
      <c r="M2" s="7"/>
    </row>
    <row r="3" customFormat="false" ht="48" hidden="false" customHeight="true" outlineLevel="0" collapsed="false">
      <c r="A3" s="10" t="s">
        <v>1322</v>
      </c>
      <c r="B3" s="10" t="s">
        <v>456</v>
      </c>
      <c r="C3" s="10" t="s">
        <v>1323</v>
      </c>
      <c r="D3" s="10" t="n">
        <v>2400</v>
      </c>
      <c r="E3" s="10" t="n">
        <v>1600</v>
      </c>
      <c r="F3" s="10" t="s">
        <v>1324</v>
      </c>
      <c r="G3" s="10" t="s">
        <v>1325</v>
      </c>
      <c r="H3" s="10" t="s">
        <v>1326</v>
      </c>
      <c r="I3" s="10" t="s">
        <v>1327</v>
      </c>
      <c r="J3" s="10" t="s">
        <v>1328</v>
      </c>
      <c r="K3" s="10" t="s">
        <v>548</v>
      </c>
      <c r="L3" s="10" t="s">
        <v>1329</v>
      </c>
      <c r="M3" s="10"/>
    </row>
    <row r="4" customFormat="false" ht="15" hidden="false" customHeight="false" outlineLevel="0" collapsed="false">
      <c r="A4" s="12"/>
      <c r="B4" s="12"/>
      <c r="C4" s="12"/>
      <c r="D4" s="12"/>
      <c r="E4" s="12"/>
      <c r="F4" s="12"/>
      <c r="G4" s="12"/>
      <c r="H4" s="12"/>
      <c r="I4" s="12"/>
      <c r="J4" s="12"/>
      <c r="K4" s="12"/>
      <c r="L4" s="12"/>
      <c r="M4" s="12"/>
    </row>
    <row r="5" customFormat="false" ht="15" hidden="false" customHeight="false" outlineLevel="0" collapsed="false">
      <c r="A5" s="12"/>
      <c r="B5" s="12"/>
      <c r="C5" s="12"/>
      <c r="D5" s="12"/>
      <c r="E5" s="12"/>
      <c r="F5" s="12"/>
      <c r="G5" s="12"/>
      <c r="H5" s="12"/>
      <c r="I5" s="12"/>
      <c r="J5" s="12"/>
      <c r="K5" s="12"/>
      <c r="L5" s="12"/>
      <c r="M5" s="12"/>
    </row>
    <row r="6" customFormat="false" ht="15" hidden="false" customHeight="false" outlineLevel="0" collapsed="false">
      <c r="A6" s="12"/>
      <c r="B6" s="12"/>
      <c r="C6" s="12"/>
      <c r="D6" s="12"/>
      <c r="E6" s="12"/>
      <c r="F6" s="12"/>
      <c r="G6" s="12"/>
      <c r="H6" s="12"/>
      <c r="I6" s="12"/>
      <c r="J6" s="12"/>
      <c r="K6" s="12"/>
      <c r="L6" s="12"/>
      <c r="M6" s="12"/>
    </row>
    <row r="7" customFormat="false" ht="15" hidden="false" customHeight="false" outlineLevel="0" collapsed="false">
      <c r="A7" s="12"/>
      <c r="B7" s="12"/>
      <c r="C7" s="12"/>
      <c r="D7" s="12"/>
      <c r="E7" s="12"/>
      <c r="F7" s="12"/>
      <c r="G7" s="12"/>
      <c r="H7" s="12"/>
      <c r="I7" s="12"/>
      <c r="J7" s="12"/>
      <c r="K7" s="12"/>
      <c r="L7" s="12"/>
      <c r="M7" s="12"/>
    </row>
    <row r="8" customFormat="false" ht="15" hidden="false" customHeight="false" outlineLevel="0" collapsed="false">
      <c r="A8" s="12"/>
      <c r="B8" s="12"/>
      <c r="C8" s="12"/>
      <c r="D8" s="12"/>
      <c r="E8" s="12"/>
      <c r="F8" s="12"/>
      <c r="G8" s="12"/>
      <c r="H8" s="12"/>
      <c r="I8" s="12"/>
      <c r="J8" s="12"/>
      <c r="K8" s="12"/>
      <c r="L8" s="12"/>
      <c r="M8" s="12"/>
    </row>
    <row r="9" customFormat="false" ht="15" hidden="false" customHeight="false" outlineLevel="0" collapsed="false">
      <c r="A9" s="12"/>
      <c r="B9" s="12"/>
      <c r="C9" s="12"/>
      <c r="D9" s="12"/>
      <c r="E9" s="12"/>
      <c r="F9" s="12"/>
      <c r="G9" s="12"/>
      <c r="H9" s="12"/>
      <c r="I9" s="12"/>
      <c r="J9" s="12"/>
      <c r="K9" s="12"/>
      <c r="L9" s="12"/>
      <c r="M9" s="12"/>
    </row>
    <row r="10" customFormat="false" ht="15" hidden="false" customHeight="false" outlineLevel="0" collapsed="false">
      <c r="A10" s="12"/>
      <c r="B10" s="12"/>
      <c r="C10" s="12"/>
      <c r="D10" s="12"/>
      <c r="E10" s="12"/>
      <c r="F10" s="12"/>
      <c r="G10" s="12"/>
      <c r="H10" s="12"/>
      <c r="I10" s="12"/>
      <c r="J10" s="12"/>
      <c r="K10" s="12"/>
      <c r="L10" s="12"/>
      <c r="M10" s="12"/>
    </row>
    <row r="11" customFormat="false" ht="15" hidden="false" customHeight="false" outlineLevel="0" collapsed="false">
      <c r="A11" s="12"/>
      <c r="B11" s="12"/>
      <c r="C11" s="12"/>
      <c r="D11" s="12"/>
      <c r="E11" s="12"/>
      <c r="F11" s="12"/>
      <c r="G11" s="12"/>
      <c r="H11" s="12"/>
      <c r="I11" s="12"/>
      <c r="J11" s="12"/>
      <c r="K11" s="12"/>
      <c r="L11" s="12"/>
      <c r="M11" s="12"/>
    </row>
    <row r="12" customFormat="false" ht="15" hidden="false" customHeight="false" outlineLevel="0" collapsed="false">
      <c r="A12" s="12"/>
      <c r="B12" s="12"/>
      <c r="C12" s="12"/>
      <c r="D12" s="12"/>
      <c r="E12" s="12"/>
      <c r="F12" s="12"/>
      <c r="G12" s="12"/>
      <c r="H12" s="12"/>
      <c r="I12" s="12"/>
      <c r="J12" s="12"/>
      <c r="K12" s="12"/>
      <c r="L12" s="12"/>
      <c r="M12" s="12"/>
    </row>
    <row r="13" customFormat="false" ht="15" hidden="false" customHeight="false" outlineLevel="0" collapsed="false">
      <c r="A13" s="12"/>
      <c r="B13" s="12"/>
      <c r="C13" s="12"/>
      <c r="D13" s="12"/>
      <c r="E13" s="12"/>
      <c r="F13" s="12"/>
      <c r="G13" s="12"/>
      <c r="H13" s="12"/>
      <c r="I13" s="12"/>
      <c r="J13" s="12"/>
      <c r="K13" s="12"/>
      <c r="L13" s="12"/>
      <c r="M13" s="12"/>
    </row>
    <row r="14" customFormat="false" ht="15" hidden="false" customHeight="false" outlineLevel="0" collapsed="false">
      <c r="A14" s="12"/>
      <c r="B14" s="12"/>
      <c r="C14" s="12"/>
      <c r="D14" s="12"/>
      <c r="E14" s="12"/>
      <c r="F14" s="12"/>
      <c r="G14" s="12"/>
      <c r="H14" s="12"/>
      <c r="I14" s="12"/>
      <c r="J14" s="12"/>
      <c r="K14" s="12"/>
      <c r="L14" s="12"/>
      <c r="M14" s="12"/>
    </row>
    <row r="15" customFormat="false" ht="15" hidden="false" customHeight="false" outlineLevel="0" collapsed="false">
      <c r="A15" s="12"/>
      <c r="B15" s="12"/>
      <c r="C15" s="12"/>
      <c r="D15" s="12"/>
      <c r="E15" s="12"/>
      <c r="F15" s="12"/>
      <c r="G15" s="12"/>
      <c r="H15" s="12"/>
      <c r="I15" s="12"/>
      <c r="J15" s="12"/>
      <c r="K15" s="12"/>
      <c r="L15" s="12"/>
      <c r="M15" s="12"/>
    </row>
    <row r="16" customFormat="false" ht="15" hidden="false" customHeight="false" outlineLevel="0" collapsed="false">
      <c r="A16" s="12"/>
      <c r="B16" s="12"/>
      <c r="C16" s="12"/>
      <c r="D16" s="12"/>
      <c r="E16" s="12"/>
      <c r="F16" s="12"/>
      <c r="G16" s="12"/>
      <c r="H16" s="12"/>
      <c r="I16" s="12"/>
      <c r="J16" s="12"/>
      <c r="K16" s="12"/>
      <c r="L16" s="12"/>
      <c r="M16" s="12"/>
    </row>
    <row r="17" customFormat="false" ht="15" hidden="false" customHeight="false" outlineLevel="0" collapsed="false">
      <c r="A17" s="12"/>
      <c r="B17" s="12"/>
      <c r="C17" s="12"/>
      <c r="D17" s="12"/>
      <c r="E17" s="12"/>
      <c r="F17" s="12"/>
      <c r="G17" s="12"/>
      <c r="H17" s="12"/>
      <c r="I17" s="12"/>
      <c r="J17" s="12"/>
      <c r="K17" s="12"/>
      <c r="L17" s="12"/>
      <c r="M17" s="12"/>
    </row>
    <row r="18" customFormat="false" ht="15" hidden="false" customHeight="false" outlineLevel="0" collapsed="false">
      <c r="A18" s="12"/>
      <c r="B18" s="12"/>
      <c r="C18" s="12"/>
      <c r="D18" s="12"/>
      <c r="E18" s="12"/>
      <c r="F18" s="12"/>
      <c r="G18" s="12"/>
      <c r="H18" s="12"/>
      <c r="I18" s="12"/>
      <c r="J18" s="12"/>
      <c r="K18" s="12"/>
      <c r="L18" s="12"/>
      <c r="M18" s="12"/>
    </row>
    <row r="19" customFormat="false" ht="15" hidden="false" customHeight="false" outlineLevel="0" collapsed="false">
      <c r="A19" s="12"/>
      <c r="B19" s="12"/>
      <c r="C19" s="12"/>
      <c r="D19" s="12"/>
      <c r="E19" s="12"/>
      <c r="F19" s="12"/>
      <c r="G19" s="12"/>
      <c r="H19" s="12"/>
      <c r="I19" s="12"/>
      <c r="J19" s="12"/>
      <c r="K19" s="12"/>
      <c r="L19" s="12"/>
      <c r="M19" s="12"/>
    </row>
    <row r="20" customFormat="false" ht="15" hidden="false" customHeight="false" outlineLevel="0" collapsed="false">
      <c r="A20" s="12"/>
      <c r="B20" s="12"/>
      <c r="C20" s="12"/>
      <c r="D20" s="12"/>
      <c r="E20" s="12"/>
      <c r="F20" s="12"/>
      <c r="G20" s="12"/>
      <c r="H20" s="12"/>
      <c r="I20" s="12"/>
      <c r="J20" s="12"/>
      <c r="K20" s="12"/>
      <c r="L20" s="12"/>
      <c r="M20" s="12"/>
    </row>
    <row r="21" customFormat="false" ht="15" hidden="false" customHeight="false" outlineLevel="0" collapsed="false">
      <c r="A21" s="12"/>
      <c r="B21" s="12"/>
      <c r="C21" s="12"/>
      <c r="D21" s="12"/>
      <c r="E21" s="12"/>
      <c r="F21" s="12"/>
      <c r="G21" s="12"/>
      <c r="H21" s="12"/>
      <c r="I21" s="12"/>
      <c r="J21" s="12"/>
      <c r="K21" s="12"/>
      <c r="L21" s="12"/>
      <c r="M21" s="12"/>
    </row>
    <row r="22" customFormat="false" ht="15" hidden="false" customHeight="false" outlineLevel="0" collapsed="false">
      <c r="A22" s="12"/>
      <c r="B22" s="12"/>
      <c r="C22" s="12"/>
      <c r="D22" s="12"/>
      <c r="E22" s="12"/>
      <c r="F22" s="12"/>
      <c r="G22" s="12"/>
      <c r="H22" s="12"/>
      <c r="I22" s="12"/>
      <c r="J22" s="12"/>
      <c r="K22" s="12"/>
      <c r="L22" s="12"/>
      <c r="M22" s="12"/>
    </row>
    <row r="23" customFormat="false" ht="15" hidden="false" customHeight="false" outlineLevel="0" collapsed="false">
      <c r="A23" s="12"/>
      <c r="B23" s="12"/>
      <c r="C23" s="12"/>
      <c r="D23" s="12"/>
      <c r="E23" s="12"/>
      <c r="F23" s="12"/>
      <c r="G23" s="12"/>
      <c r="H23" s="12"/>
      <c r="I23" s="12"/>
      <c r="J23" s="12"/>
      <c r="K23" s="12"/>
      <c r="L23" s="12"/>
      <c r="M23" s="12"/>
    </row>
    <row r="24" customFormat="false" ht="15" hidden="false" customHeight="false" outlineLevel="0" collapsed="false">
      <c r="A24" s="12"/>
      <c r="B24" s="12"/>
      <c r="C24" s="12"/>
      <c r="D24" s="12"/>
      <c r="E24" s="12"/>
      <c r="F24" s="12"/>
      <c r="G24" s="12"/>
      <c r="H24" s="12"/>
      <c r="I24" s="12"/>
      <c r="J24" s="12"/>
      <c r="K24" s="12"/>
      <c r="L24" s="12"/>
      <c r="M24" s="12"/>
    </row>
    <row r="25" customFormat="false" ht="15" hidden="false" customHeight="false" outlineLevel="0" collapsed="false">
      <c r="A25" s="12"/>
      <c r="B25" s="12"/>
      <c r="C25" s="12"/>
      <c r="D25" s="12"/>
      <c r="E25" s="12"/>
      <c r="F25" s="12"/>
      <c r="G25" s="12"/>
      <c r="H25" s="12"/>
      <c r="I25" s="12"/>
      <c r="J25" s="12"/>
      <c r="K25" s="12"/>
      <c r="L25" s="12"/>
      <c r="M25" s="12"/>
    </row>
    <row r="26" customFormat="false" ht="15" hidden="false" customHeight="false" outlineLevel="0" collapsed="false">
      <c r="A26" s="12"/>
      <c r="B26" s="12"/>
      <c r="C26" s="12"/>
      <c r="D26" s="12"/>
      <c r="E26" s="12"/>
      <c r="F26" s="12"/>
      <c r="G26" s="12"/>
      <c r="H26" s="12"/>
      <c r="I26" s="12"/>
      <c r="J26" s="12"/>
      <c r="K26" s="12"/>
      <c r="L26" s="12"/>
      <c r="M26" s="12"/>
    </row>
    <row r="27" customFormat="false" ht="15" hidden="false" customHeight="false" outlineLevel="0" collapsed="false">
      <c r="A27" s="12"/>
      <c r="B27" s="12"/>
      <c r="C27" s="12"/>
      <c r="D27" s="12"/>
      <c r="E27" s="12"/>
      <c r="F27" s="12"/>
      <c r="G27" s="12"/>
      <c r="H27" s="12"/>
      <c r="I27" s="12"/>
      <c r="J27" s="12"/>
      <c r="K27" s="12"/>
      <c r="L27" s="12"/>
      <c r="M27" s="12"/>
    </row>
    <row r="28" customFormat="false" ht="15" hidden="false" customHeight="false" outlineLevel="0" collapsed="false">
      <c r="A28" s="12"/>
      <c r="B28" s="12"/>
      <c r="C28" s="12"/>
      <c r="D28" s="12"/>
      <c r="E28" s="12"/>
      <c r="F28" s="12"/>
      <c r="G28" s="12"/>
      <c r="H28" s="12"/>
      <c r="I28" s="12"/>
      <c r="J28" s="12"/>
      <c r="K28" s="12"/>
      <c r="L28" s="12"/>
      <c r="M28" s="12"/>
    </row>
    <row r="29" customFormat="false" ht="15" hidden="false" customHeight="false" outlineLevel="0" collapsed="false">
      <c r="A29" s="12"/>
      <c r="B29" s="12"/>
      <c r="C29" s="12"/>
      <c r="D29" s="12"/>
      <c r="E29" s="12"/>
      <c r="F29" s="12"/>
      <c r="G29" s="12"/>
      <c r="H29" s="12"/>
      <c r="I29" s="12"/>
      <c r="J29" s="12"/>
      <c r="K29" s="12"/>
      <c r="L29" s="12"/>
      <c r="M29" s="12"/>
    </row>
    <row r="30" customFormat="false" ht="15" hidden="false" customHeight="false" outlineLevel="0" collapsed="false">
      <c r="A30" s="12"/>
      <c r="B30" s="12"/>
      <c r="C30" s="12"/>
      <c r="D30" s="12"/>
      <c r="E30" s="12"/>
      <c r="F30" s="12"/>
      <c r="G30" s="12"/>
      <c r="H30" s="12"/>
      <c r="I30" s="12"/>
      <c r="J30" s="12"/>
      <c r="K30" s="12"/>
      <c r="L30" s="12"/>
      <c r="M30" s="12"/>
    </row>
    <row r="31" customFormat="false" ht="15" hidden="false" customHeight="false" outlineLevel="0" collapsed="false">
      <c r="A31" s="12"/>
      <c r="B31" s="12"/>
      <c r="C31" s="12"/>
      <c r="D31" s="12"/>
      <c r="E31" s="12"/>
      <c r="F31" s="12"/>
      <c r="G31" s="12"/>
      <c r="H31" s="12"/>
      <c r="I31" s="12"/>
      <c r="J31" s="12"/>
      <c r="K31" s="12"/>
      <c r="L31" s="12"/>
      <c r="M31" s="12"/>
    </row>
    <row r="32" customFormat="false" ht="15" hidden="false" customHeight="false" outlineLevel="0" collapsed="false">
      <c r="A32" s="12"/>
      <c r="B32" s="12"/>
      <c r="C32" s="12"/>
      <c r="D32" s="12"/>
      <c r="E32" s="12"/>
      <c r="F32" s="12"/>
      <c r="G32" s="12"/>
      <c r="H32" s="12"/>
      <c r="I32" s="12"/>
      <c r="J32" s="12"/>
      <c r="K32" s="12"/>
      <c r="L32" s="12"/>
      <c r="M32" s="12"/>
    </row>
    <row r="33" customFormat="false" ht="15" hidden="false" customHeight="false" outlineLevel="0" collapsed="false">
      <c r="A33" s="12"/>
      <c r="B33" s="12"/>
      <c r="C33" s="12"/>
      <c r="D33" s="12"/>
      <c r="E33" s="12"/>
      <c r="F33" s="12"/>
      <c r="G33" s="12"/>
      <c r="H33" s="12"/>
      <c r="I33" s="12"/>
      <c r="J33" s="12"/>
      <c r="K33" s="12"/>
      <c r="L33" s="12"/>
      <c r="M33" s="12"/>
    </row>
    <row r="34" customFormat="false" ht="15" hidden="false" customHeight="false" outlineLevel="0" collapsed="false">
      <c r="A34" s="12"/>
      <c r="B34" s="12"/>
      <c r="C34" s="12"/>
      <c r="D34" s="12"/>
      <c r="E34" s="12"/>
      <c r="F34" s="12"/>
      <c r="G34" s="12"/>
      <c r="H34" s="12"/>
      <c r="I34" s="12"/>
      <c r="J34" s="12"/>
      <c r="K34" s="12"/>
      <c r="L34" s="12"/>
      <c r="M34" s="12"/>
    </row>
    <row r="35" customFormat="false" ht="15" hidden="false" customHeight="false" outlineLevel="0" collapsed="false">
      <c r="A35" s="12"/>
      <c r="B35" s="12"/>
      <c r="C35" s="12"/>
      <c r="D35" s="12"/>
      <c r="E35" s="12"/>
      <c r="F35" s="12"/>
      <c r="G35" s="12"/>
      <c r="H35" s="12"/>
      <c r="I35" s="12"/>
      <c r="J35" s="12"/>
      <c r="K35" s="12"/>
      <c r="L35" s="12"/>
      <c r="M35" s="12"/>
    </row>
    <row r="36" customFormat="false" ht="15" hidden="false" customHeight="false" outlineLevel="0" collapsed="false">
      <c r="A36" s="12"/>
      <c r="B36" s="12"/>
      <c r="C36" s="12"/>
      <c r="D36" s="12"/>
      <c r="E36" s="12"/>
      <c r="F36" s="12"/>
      <c r="G36" s="12"/>
      <c r="H36" s="12"/>
      <c r="I36" s="12"/>
      <c r="J36" s="12"/>
      <c r="K36" s="12"/>
      <c r="L36" s="12"/>
      <c r="M36" s="12"/>
    </row>
    <row r="37" customFormat="false" ht="15" hidden="false" customHeight="false" outlineLevel="0" collapsed="false">
      <c r="A37" s="12"/>
      <c r="B37" s="12"/>
      <c r="C37" s="12"/>
      <c r="D37" s="12"/>
      <c r="E37" s="12"/>
      <c r="F37" s="12"/>
      <c r="G37" s="12"/>
      <c r="H37" s="12"/>
      <c r="I37" s="12"/>
      <c r="J37" s="12"/>
      <c r="K37" s="12"/>
      <c r="L37" s="12"/>
      <c r="M37" s="12"/>
    </row>
    <row r="38" customFormat="false" ht="15" hidden="false" customHeight="false" outlineLevel="0" collapsed="false">
      <c r="A38" s="12"/>
      <c r="B38" s="12"/>
      <c r="C38" s="12"/>
      <c r="D38" s="12"/>
      <c r="E38" s="12"/>
      <c r="F38" s="12"/>
      <c r="G38" s="12"/>
      <c r="H38" s="12"/>
      <c r="I38" s="12"/>
      <c r="J38" s="12"/>
      <c r="K38" s="12"/>
      <c r="L38" s="12"/>
      <c r="M38" s="12"/>
    </row>
    <row r="39" customFormat="false" ht="15" hidden="false" customHeight="false" outlineLevel="0" collapsed="false">
      <c r="A39" s="12"/>
      <c r="B39" s="12"/>
      <c r="C39" s="12"/>
      <c r="D39" s="12"/>
      <c r="E39" s="12"/>
      <c r="F39" s="12"/>
      <c r="G39" s="12"/>
      <c r="H39" s="12"/>
      <c r="I39" s="12"/>
      <c r="J39" s="12"/>
      <c r="K39" s="12"/>
      <c r="L39" s="12"/>
      <c r="M39" s="12"/>
    </row>
    <row r="40" customFormat="false" ht="15" hidden="false" customHeight="false" outlineLevel="0" collapsed="false">
      <c r="A40" s="12"/>
      <c r="B40" s="12"/>
      <c r="C40" s="12"/>
      <c r="D40" s="12"/>
      <c r="E40" s="12"/>
      <c r="F40" s="12"/>
      <c r="G40" s="12"/>
      <c r="H40" s="12"/>
      <c r="I40" s="12"/>
      <c r="J40" s="12"/>
      <c r="K40" s="12"/>
      <c r="L40" s="12"/>
      <c r="M40" s="12"/>
    </row>
    <row r="41" customFormat="false" ht="15" hidden="false" customHeight="false" outlineLevel="0" collapsed="false">
      <c r="A41" s="12"/>
      <c r="B41" s="12"/>
      <c r="C41" s="12"/>
      <c r="D41" s="12"/>
      <c r="E41" s="12"/>
      <c r="F41" s="12"/>
      <c r="G41" s="12"/>
      <c r="H41" s="12"/>
      <c r="I41" s="12"/>
      <c r="J41" s="12"/>
      <c r="K41" s="12"/>
      <c r="L41" s="12"/>
      <c r="M41" s="12"/>
    </row>
    <row r="42" customFormat="false" ht="15" hidden="false" customHeight="false" outlineLevel="0" collapsed="false">
      <c r="A42" s="12"/>
      <c r="B42" s="12"/>
      <c r="C42" s="12"/>
      <c r="D42" s="12"/>
      <c r="E42" s="12"/>
      <c r="F42" s="12"/>
      <c r="G42" s="12"/>
      <c r="H42" s="12"/>
      <c r="I42" s="12"/>
      <c r="J42" s="12"/>
      <c r="K42" s="12"/>
      <c r="L42" s="12"/>
      <c r="M42" s="12"/>
    </row>
    <row r="43" customFormat="false" ht="15" hidden="false" customHeight="false" outlineLevel="0" collapsed="false">
      <c r="A43" s="12"/>
      <c r="B43" s="12"/>
      <c r="C43" s="12"/>
      <c r="D43" s="12"/>
      <c r="E43" s="12"/>
      <c r="F43" s="12"/>
      <c r="G43" s="12"/>
      <c r="H43" s="12"/>
      <c r="I43" s="12"/>
      <c r="J43" s="12"/>
      <c r="K43" s="12"/>
      <c r="L43" s="12"/>
      <c r="M43" s="12"/>
    </row>
    <row r="44" customFormat="false" ht="15" hidden="false" customHeight="false" outlineLevel="0" collapsed="false">
      <c r="A44" s="12"/>
      <c r="B44" s="12"/>
      <c r="C44" s="12"/>
      <c r="D44" s="12"/>
      <c r="E44" s="12"/>
      <c r="F44" s="12"/>
      <c r="G44" s="12"/>
      <c r="H44" s="12"/>
      <c r="I44" s="12"/>
      <c r="J44" s="12"/>
      <c r="K44" s="12"/>
      <c r="L44" s="12"/>
      <c r="M44" s="12"/>
    </row>
    <row r="45" customFormat="false" ht="15" hidden="false" customHeight="false" outlineLevel="0" collapsed="false">
      <c r="A45" s="12"/>
      <c r="B45" s="12"/>
      <c r="C45" s="12"/>
      <c r="D45" s="12"/>
      <c r="E45" s="12"/>
      <c r="F45" s="12"/>
      <c r="G45" s="12"/>
      <c r="H45" s="12"/>
      <c r="I45" s="12"/>
      <c r="J45" s="12"/>
      <c r="K45" s="12"/>
      <c r="L45" s="12"/>
      <c r="M45" s="12"/>
    </row>
    <row r="46" customFormat="false" ht="15" hidden="false" customHeight="false" outlineLevel="0" collapsed="false">
      <c r="A46" s="12"/>
      <c r="B46" s="12"/>
      <c r="C46" s="12"/>
      <c r="D46" s="12"/>
      <c r="E46" s="12"/>
      <c r="F46" s="12"/>
      <c r="G46" s="12"/>
      <c r="H46" s="12"/>
      <c r="I46" s="12"/>
      <c r="J46" s="12"/>
      <c r="K46" s="12"/>
      <c r="L46" s="12"/>
      <c r="M46" s="12"/>
    </row>
    <row r="47" customFormat="false" ht="15" hidden="false" customHeight="false" outlineLevel="0" collapsed="false">
      <c r="A47" s="12"/>
      <c r="B47" s="12"/>
      <c r="C47" s="12"/>
      <c r="D47" s="12"/>
      <c r="E47" s="12"/>
      <c r="F47" s="12"/>
      <c r="G47" s="12"/>
      <c r="H47" s="12"/>
      <c r="I47" s="12"/>
      <c r="J47" s="12"/>
      <c r="K47" s="12"/>
      <c r="L47" s="12"/>
      <c r="M47" s="12"/>
    </row>
    <row r="48" customFormat="false" ht="15" hidden="false" customHeight="false" outlineLevel="0" collapsed="false">
      <c r="A48" s="12"/>
      <c r="B48" s="12"/>
      <c r="C48" s="12"/>
      <c r="D48" s="12"/>
      <c r="E48" s="12"/>
      <c r="F48" s="12"/>
      <c r="G48" s="12"/>
      <c r="H48" s="12"/>
      <c r="I48" s="12"/>
      <c r="J48" s="12"/>
      <c r="K48" s="12"/>
      <c r="L48" s="12"/>
      <c r="M48" s="12"/>
    </row>
    <row r="49" customFormat="false" ht="15" hidden="false" customHeight="false" outlineLevel="0" collapsed="false">
      <c r="A49" s="12"/>
      <c r="B49" s="12"/>
      <c r="C49" s="12"/>
      <c r="D49" s="12"/>
      <c r="E49" s="12"/>
      <c r="F49" s="12"/>
      <c r="G49" s="12"/>
      <c r="H49" s="12"/>
      <c r="I49" s="12"/>
      <c r="J49" s="12"/>
      <c r="K49" s="12"/>
      <c r="L49" s="12"/>
      <c r="M49" s="12"/>
    </row>
    <row r="50" customFormat="false" ht="15" hidden="false" customHeight="false" outlineLevel="0" collapsed="false">
      <c r="A50" s="12"/>
      <c r="B50" s="12"/>
      <c r="C50" s="12"/>
      <c r="D50" s="12"/>
      <c r="E50" s="12"/>
      <c r="F50" s="12"/>
      <c r="G50" s="12"/>
      <c r="H50" s="12"/>
      <c r="I50" s="12"/>
      <c r="J50" s="12"/>
      <c r="K50" s="12"/>
      <c r="L50" s="12"/>
      <c r="M50" s="12"/>
    </row>
    <row r="51" customFormat="false" ht="15" hidden="false" customHeight="false" outlineLevel="0" collapsed="false">
      <c r="A51" s="12"/>
      <c r="B51" s="12"/>
      <c r="C51" s="12"/>
      <c r="D51" s="12"/>
      <c r="E51" s="12"/>
      <c r="F51" s="12"/>
      <c r="G51" s="12"/>
      <c r="H51" s="12"/>
      <c r="I51" s="12"/>
      <c r="J51" s="12"/>
      <c r="K51" s="12"/>
      <c r="L51" s="12"/>
      <c r="M51" s="12"/>
    </row>
    <row r="52" customFormat="false" ht="15" hidden="false" customHeight="false" outlineLevel="0" collapsed="false">
      <c r="A52" s="12"/>
      <c r="B52" s="12"/>
      <c r="C52" s="12"/>
      <c r="D52" s="12"/>
      <c r="E52" s="12"/>
      <c r="F52" s="12"/>
      <c r="G52" s="12"/>
      <c r="H52" s="12"/>
      <c r="I52" s="12"/>
      <c r="J52" s="12"/>
      <c r="K52" s="12"/>
      <c r="L52" s="12"/>
      <c r="M52" s="12"/>
    </row>
    <row r="53" customFormat="false" ht="15" hidden="false" customHeight="false" outlineLevel="0" collapsed="false">
      <c r="A53" s="12"/>
      <c r="B53" s="12"/>
      <c r="C53" s="12"/>
      <c r="D53" s="12"/>
      <c r="E53" s="12"/>
      <c r="F53" s="12"/>
      <c r="G53" s="12"/>
      <c r="H53" s="12"/>
      <c r="I53" s="12"/>
      <c r="J53" s="12"/>
      <c r="K53" s="12"/>
      <c r="L53" s="12"/>
      <c r="M53" s="12"/>
    </row>
    <row r="54" customFormat="false" ht="15" hidden="false" customHeight="false" outlineLevel="0" collapsed="false">
      <c r="A54" s="12"/>
      <c r="B54" s="12"/>
      <c r="C54" s="12"/>
      <c r="D54" s="12"/>
      <c r="E54" s="12"/>
      <c r="F54" s="12"/>
      <c r="G54" s="12"/>
      <c r="H54" s="12"/>
      <c r="I54" s="12"/>
      <c r="J54" s="12"/>
      <c r="K54" s="12"/>
      <c r="L54" s="12"/>
      <c r="M54" s="12"/>
    </row>
    <row r="55" customFormat="false" ht="15" hidden="false" customHeight="false" outlineLevel="0" collapsed="false">
      <c r="A55" s="12"/>
      <c r="B55" s="12"/>
      <c r="C55" s="12"/>
      <c r="D55" s="12"/>
      <c r="E55" s="12"/>
      <c r="F55" s="12"/>
      <c r="G55" s="12"/>
      <c r="H55" s="12"/>
      <c r="I55" s="12"/>
      <c r="J55" s="12"/>
      <c r="K55" s="12"/>
      <c r="L55" s="12"/>
      <c r="M55" s="12"/>
    </row>
    <row r="56" customFormat="false" ht="15" hidden="false" customHeight="false" outlineLevel="0" collapsed="false">
      <c r="A56" s="12"/>
      <c r="B56" s="12"/>
      <c r="C56" s="12"/>
      <c r="D56" s="12"/>
      <c r="E56" s="12"/>
      <c r="F56" s="12"/>
      <c r="G56" s="12"/>
      <c r="H56" s="12"/>
      <c r="I56" s="12"/>
      <c r="J56" s="12"/>
      <c r="K56" s="12"/>
      <c r="L56" s="12"/>
      <c r="M56" s="12"/>
    </row>
    <row r="57" customFormat="false" ht="15" hidden="false" customHeight="false" outlineLevel="0" collapsed="false">
      <c r="A57" s="12"/>
      <c r="B57" s="12"/>
      <c r="C57" s="12"/>
      <c r="D57" s="12"/>
      <c r="E57" s="12"/>
      <c r="F57" s="12"/>
      <c r="G57" s="12"/>
      <c r="H57" s="12"/>
      <c r="I57" s="12"/>
      <c r="J57" s="12"/>
      <c r="K57" s="12"/>
      <c r="L57" s="12"/>
      <c r="M57" s="12"/>
    </row>
    <row r="58" customFormat="false" ht="15" hidden="false" customHeight="false" outlineLevel="0" collapsed="false">
      <c r="A58" s="12"/>
      <c r="B58" s="12"/>
      <c r="C58" s="12"/>
      <c r="D58" s="12"/>
      <c r="E58" s="12"/>
      <c r="F58" s="12"/>
      <c r="G58" s="12"/>
      <c r="H58" s="12"/>
      <c r="I58" s="12"/>
      <c r="J58" s="12"/>
      <c r="K58" s="12"/>
      <c r="L58" s="12"/>
      <c r="M58" s="12"/>
    </row>
    <row r="59" customFormat="false" ht="15" hidden="false" customHeight="false" outlineLevel="0" collapsed="false">
      <c r="A59" s="12"/>
      <c r="B59" s="12"/>
      <c r="C59" s="12"/>
      <c r="D59" s="12"/>
      <c r="E59" s="12"/>
      <c r="F59" s="12"/>
      <c r="G59" s="12"/>
      <c r="H59" s="12"/>
      <c r="I59" s="12"/>
      <c r="J59" s="12"/>
      <c r="K59" s="12"/>
      <c r="L59" s="12"/>
      <c r="M59" s="12"/>
    </row>
    <row r="60" customFormat="false" ht="15" hidden="false" customHeight="false" outlineLevel="0" collapsed="false">
      <c r="A60" s="12"/>
      <c r="B60" s="12"/>
      <c r="C60" s="12"/>
      <c r="D60" s="12"/>
      <c r="E60" s="12"/>
      <c r="F60" s="12"/>
      <c r="G60" s="12"/>
      <c r="H60" s="12"/>
      <c r="I60" s="12"/>
      <c r="J60" s="12"/>
      <c r="K60" s="12"/>
      <c r="L60" s="12"/>
      <c r="M60" s="12"/>
    </row>
    <row r="61" customFormat="false" ht="15" hidden="false" customHeight="false" outlineLevel="0" collapsed="false">
      <c r="A61" s="12"/>
      <c r="B61" s="12"/>
      <c r="C61" s="12"/>
      <c r="D61" s="12"/>
      <c r="E61" s="12"/>
      <c r="F61" s="12"/>
      <c r="G61" s="12"/>
      <c r="H61" s="12"/>
      <c r="I61" s="12"/>
      <c r="J61" s="12"/>
      <c r="K61" s="12"/>
      <c r="L61" s="12"/>
      <c r="M61" s="12"/>
    </row>
    <row r="62" customFormat="false" ht="15" hidden="false" customHeight="false" outlineLevel="0" collapsed="false">
      <c r="A62" s="12"/>
      <c r="B62" s="12"/>
      <c r="C62" s="12"/>
      <c r="D62" s="12"/>
      <c r="E62" s="12"/>
      <c r="F62" s="12"/>
      <c r="G62" s="12"/>
      <c r="H62" s="12"/>
      <c r="I62" s="12"/>
      <c r="J62" s="12"/>
      <c r="K62" s="12"/>
      <c r="L62" s="12"/>
      <c r="M62" s="12"/>
    </row>
    <row r="63" customFormat="false" ht="15" hidden="false" customHeight="false" outlineLevel="0" collapsed="false">
      <c r="A63" s="12"/>
      <c r="B63" s="12"/>
      <c r="C63" s="12"/>
      <c r="D63" s="12"/>
      <c r="E63" s="12"/>
      <c r="F63" s="12"/>
      <c r="G63" s="12"/>
      <c r="H63" s="12"/>
      <c r="I63" s="12"/>
      <c r="J63" s="12"/>
      <c r="K63" s="12"/>
      <c r="L63" s="12"/>
      <c r="M63" s="12"/>
    </row>
    <row r="64" customFormat="false" ht="15" hidden="false" customHeight="false" outlineLevel="0" collapsed="false">
      <c r="A64" s="12"/>
      <c r="B64" s="12"/>
      <c r="C64" s="12"/>
      <c r="D64" s="12"/>
      <c r="E64" s="12"/>
      <c r="F64" s="12"/>
      <c r="G64" s="12"/>
      <c r="H64" s="12"/>
      <c r="I64" s="12"/>
      <c r="J64" s="12"/>
      <c r="K64" s="12"/>
      <c r="L64" s="12"/>
      <c r="M64" s="12"/>
    </row>
    <row r="65" customFormat="false" ht="15" hidden="false" customHeight="false" outlineLevel="0" collapsed="false">
      <c r="A65" s="12"/>
      <c r="B65" s="12"/>
      <c r="C65" s="12"/>
      <c r="D65" s="12"/>
      <c r="E65" s="12"/>
      <c r="F65" s="12"/>
      <c r="G65" s="12"/>
      <c r="H65" s="12"/>
      <c r="I65" s="12"/>
      <c r="J65" s="12"/>
      <c r="K65" s="12"/>
      <c r="L65" s="12"/>
      <c r="M65" s="12"/>
    </row>
    <row r="66" customFormat="false" ht="15" hidden="false" customHeight="false" outlineLevel="0" collapsed="false">
      <c r="A66" s="12"/>
      <c r="B66" s="12"/>
      <c r="C66" s="12"/>
      <c r="D66" s="12"/>
      <c r="E66" s="12"/>
      <c r="F66" s="12"/>
      <c r="G66" s="12"/>
      <c r="H66" s="12"/>
      <c r="I66" s="12"/>
      <c r="J66" s="12"/>
      <c r="K66" s="12"/>
      <c r="L66" s="12"/>
      <c r="M66" s="12"/>
    </row>
    <row r="67" customFormat="false" ht="15" hidden="false" customHeight="false" outlineLevel="0" collapsed="false">
      <c r="A67" s="12"/>
      <c r="B67" s="12"/>
      <c r="C67" s="12"/>
      <c r="D67" s="12"/>
      <c r="E67" s="12"/>
      <c r="F67" s="12"/>
      <c r="G67" s="12"/>
      <c r="H67" s="12"/>
      <c r="I67" s="12"/>
      <c r="J67" s="12"/>
      <c r="K67" s="12"/>
      <c r="L67" s="12"/>
      <c r="M67" s="12"/>
    </row>
    <row r="68" customFormat="false" ht="15" hidden="false" customHeight="false" outlineLevel="0" collapsed="false">
      <c r="A68" s="12"/>
      <c r="B68" s="12"/>
      <c r="C68" s="12"/>
      <c r="D68" s="12"/>
      <c r="E68" s="12"/>
      <c r="F68" s="12"/>
      <c r="G68" s="12"/>
      <c r="H68" s="12"/>
      <c r="I68" s="12"/>
      <c r="J68" s="12"/>
      <c r="K68" s="12"/>
      <c r="L68" s="12"/>
      <c r="M68" s="12"/>
    </row>
    <row r="69" customFormat="false" ht="15" hidden="false" customHeight="false" outlineLevel="0" collapsed="false">
      <c r="A69" s="12"/>
      <c r="B69" s="12"/>
      <c r="C69" s="12"/>
      <c r="D69" s="12"/>
      <c r="E69" s="12"/>
      <c r="F69" s="12"/>
      <c r="G69" s="12"/>
      <c r="H69" s="12"/>
      <c r="I69" s="12"/>
      <c r="J69" s="12"/>
      <c r="K69" s="12"/>
      <c r="L69" s="12"/>
      <c r="M69" s="12"/>
    </row>
    <row r="70" customFormat="false" ht="15" hidden="false" customHeight="false" outlineLevel="0" collapsed="false">
      <c r="A70" s="12"/>
      <c r="B70" s="12"/>
      <c r="C70" s="12"/>
      <c r="D70" s="12"/>
      <c r="E70" s="12"/>
      <c r="F70" s="12"/>
      <c r="G70" s="12"/>
      <c r="H70" s="12"/>
      <c r="I70" s="12"/>
      <c r="J70" s="12"/>
      <c r="K70" s="12"/>
      <c r="L70" s="12"/>
      <c r="M70" s="12"/>
    </row>
    <row r="71" customFormat="false" ht="15" hidden="false" customHeight="false" outlineLevel="0" collapsed="false">
      <c r="A71" s="12"/>
      <c r="B71" s="12"/>
      <c r="C71" s="12"/>
      <c r="D71" s="12"/>
      <c r="E71" s="12"/>
      <c r="F71" s="12"/>
      <c r="G71" s="12"/>
      <c r="H71" s="12"/>
      <c r="I71" s="12"/>
      <c r="J71" s="12"/>
      <c r="K71" s="12"/>
      <c r="L71" s="12"/>
      <c r="M71" s="12"/>
    </row>
    <row r="72" customFormat="false" ht="15" hidden="false" customHeight="false" outlineLevel="0" collapsed="false">
      <c r="A72" s="12"/>
      <c r="B72" s="12"/>
      <c r="C72" s="12"/>
      <c r="D72" s="12"/>
      <c r="E72" s="12"/>
      <c r="F72" s="12"/>
      <c r="G72" s="12"/>
      <c r="H72" s="12"/>
      <c r="I72" s="12"/>
      <c r="J72" s="12"/>
      <c r="K72" s="12"/>
      <c r="L72" s="12"/>
      <c r="M72" s="12"/>
    </row>
    <row r="73" customFormat="false" ht="15" hidden="false" customHeight="false" outlineLevel="0" collapsed="false">
      <c r="A73" s="12"/>
      <c r="B73" s="12"/>
      <c r="C73" s="12"/>
      <c r="D73" s="12"/>
      <c r="E73" s="12"/>
      <c r="F73" s="12"/>
      <c r="G73" s="12"/>
      <c r="H73" s="12"/>
      <c r="I73" s="12"/>
      <c r="J73" s="12"/>
      <c r="K73" s="12"/>
      <c r="L73" s="12"/>
      <c r="M73" s="12"/>
    </row>
    <row r="74" customFormat="false" ht="15" hidden="false" customHeight="false" outlineLevel="0" collapsed="false">
      <c r="A74" s="12"/>
      <c r="B74" s="12"/>
      <c r="C74" s="12"/>
      <c r="D74" s="12"/>
      <c r="E74" s="12"/>
      <c r="F74" s="12"/>
      <c r="G74" s="12"/>
      <c r="H74" s="12"/>
      <c r="I74" s="12"/>
      <c r="J74" s="12"/>
      <c r="K74" s="12"/>
      <c r="L74" s="12"/>
      <c r="M74" s="12"/>
    </row>
    <row r="75" customFormat="false" ht="15" hidden="false" customHeight="false" outlineLevel="0" collapsed="false">
      <c r="A75" s="12"/>
      <c r="B75" s="12"/>
      <c r="C75" s="12"/>
      <c r="D75" s="12"/>
      <c r="E75" s="12"/>
      <c r="F75" s="12"/>
      <c r="G75" s="12"/>
      <c r="H75" s="12"/>
      <c r="I75" s="12"/>
      <c r="J75" s="12"/>
      <c r="K75" s="12"/>
      <c r="L75" s="12"/>
      <c r="M75" s="12"/>
    </row>
    <row r="76" customFormat="false" ht="15" hidden="false" customHeight="false" outlineLevel="0" collapsed="false">
      <c r="A76" s="12"/>
      <c r="B76" s="12"/>
      <c r="C76" s="12"/>
      <c r="D76" s="12"/>
      <c r="E76" s="12"/>
      <c r="F76" s="12"/>
      <c r="G76" s="12"/>
      <c r="H76" s="12"/>
      <c r="I76" s="12"/>
      <c r="J76" s="12"/>
      <c r="K76" s="12"/>
      <c r="L76" s="12"/>
      <c r="M76" s="12"/>
    </row>
    <row r="77" customFormat="false" ht="15" hidden="false" customHeight="false" outlineLevel="0" collapsed="false">
      <c r="A77" s="12"/>
      <c r="B77" s="12"/>
      <c r="C77" s="12"/>
      <c r="D77" s="12"/>
      <c r="E77" s="12"/>
      <c r="F77" s="12"/>
      <c r="G77" s="12"/>
      <c r="H77" s="12"/>
      <c r="I77" s="12"/>
      <c r="J77" s="12"/>
      <c r="K77" s="12"/>
      <c r="L77" s="12"/>
      <c r="M77" s="12"/>
    </row>
    <row r="78" customFormat="false" ht="15" hidden="false" customHeight="false" outlineLevel="0" collapsed="false">
      <c r="A78" s="12"/>
      <c r="B78" s="12"/>
      <c r="C78" s="12"/>
      <c r="D78" s="12"/>
      <c r="E78" s="12"/>
      <c r="F78" s="12"/>
      <c r="G78" s="12"/>
      <c r="H78" s="12"/>
      <c r="I78" s="12"/>
      <c r="J78" s="12"/>
      <c r="K78" s="12"/>
      <c r="L78" s="12"/>
      <c r="M78" s="12"/>
    </row>
    <row r="79" customFormat="false" ht="15" hidden="false" customHeight="false" outlineLevel="0" collapsed="false">
      <c r="A79" s="12"/>
      <c r="B79" s="12"/>
      <c r="C79" s="12"/>
      <c r="D79" s="12"/>
      <c r="E79" s="12"/>
      <c r="F79" s="12"/>
      <c r="G79" s="12"/>
      <c r="H79" s="12"/>
      <c r="I79" s="12"/>
      <c r="J79" s="12"/>
      <c r="K79" s="12"/>
      <c r="L79" s="12"/>
      <c r="M79" s="12"/>
    </row>
    <row r="80" customFormat="false" ht="15" hidden="false" customHeight="false" outlineLevel="0" collapsed="false">
      <c r="A80" s="12"/>
      <c r="B80" s="12"/>
      <c r="C80" s="12"/>
      <c r="D80" s="12"/>
      <c r="E80" s="12"/>
      <c r="F80" s="12"/>
      <c r="G80" s="12"/>
      <c r="H80" s="12"/>
      <c r="I80" s="12"/>
      <c r="J80" s="12"/>
      <c r="K80" s="12"/>
      <c r="L80" s="12"/>
      <c r="M80" s="12"/>
    </row>
    <row r="81" customFormat="false" ht="15" hidden="false" customHeight="false" outlineLevel="0" collapsed="false">
      <c r="A81" s="12"/>
      <c r="B81" s="12"/>
      <c r="C81" s="12"/>
      <c r="D81" s="12"/>
      <c r="E81" s="12"/>
      <c r="F81" s="12"/>
      <c r="G81" s="12"/>
      <c r="H81" s="12"/>
      <c r="I81" s="12"/>
      <c r="J81" s="12"/>
      <c r="K81" s="12"/>
      <c r="L81" s="12"/>
      <c r="M81" s="12"/>
    </row>
    <row r="82" customFormat="false" ht="15" hidden="false" customHeight="false" outlineLevel="0" collapsed="false">
      <c r="A82" s="12"/>
      <c r="B82" s="12"/>
      <c r="C82" s="12"/>
      <c r="D82" s="12"/>
      <c r="E82" s="12"/>
      <c r="F82" s="12"/>
      <c r="G82" s="12"/>
      <c r="H82" s="12"/>
      <c r="I82" s="12"/>
      <c r="J82" s="12"/>
      <c r="K82" s="12"/>
      <c r="L82" s="12"/>
      <c r="M82" s="12"/>
    </row>
    <row r="83" customFormat="false" ht="15" hidden="false" customHeight="false" outlineLevel="0" collapsed="false">
      <c r="A83" s="12"/>
      <c r="B83" s="12"/>
      <c r="C83" s="12"/>
      <c r="D83" s="12"/>
      <c r="E83" s="12"/>
      <c r="F83" s="12"/>
      <c r="G83" s="12"/>
      <c r="H83" s="12"/>
      <c r="I83" s="12"/>
      <c r="J83" s="12"/>
      <c r="K83" s="12"/>
      <c r="L83" s="12"/>
      <c r="M83" s="12"/>
    </row>
  </sheetData>
  <autoFilter ref="A1:M83"/>
  <dataValidations count="2">
    <dataValidation allowBlank="true" error="Pick a value from the list" errorStyle="stop" errorTitle="Invalid value" operator="between" showDropDown="false" showErrorMessage="false" showInputMessage="false" sqref="C3:C83" type="list">
      <formula1>"hero,gallery,swatch,detail,case,application,blog,og"</formula1>
      <formula2>0</formula2>
    </dataValidation>
    <dataValidation allowBlank="true" error="Pick a value from the list" errorStyle="stop" errorTitle="Invalid value" operator="between" showDropDown="false" showErrorMessage="false" showInputMessage="false" sqref="K3:K83"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12" min="3" style="0" width="9"/>
    <col collapsed="false" customWidth="true" hidden="false" outlineLevel="0" max="13" min="13" style="0" width="10"/>
    <col collapsed="false" customWidth="true" hidden="false" outlineLevel="0" max="14" min="14" style="0" width="44"/>
  </cols>
  <sheetData>
    <row r="1" customFormat="false" ht="31.5" hidden="false" customHeight="true" outlineLevel="0" collapsed="false">
      <c r="A1" s="4" t="s">
        <v>1330</v>
      </c>
      <c r="B1" s="4" t="s">
        <v>1331</v>
      </c>
      <c r="C1" s="4" t="s">
        <v>77</v>
      </c>
      <c r="D1" s="4" t="s">
        <v>192</v>
      </c>
      <c r="E1" s="4" t="s">
        <v>240</v>
      </c>
      <c r="F1" s="4" t="s">
        <v>279</v>
      </c>
      <c r="G1" s="4" t="s">
        <v>1332</v>
      </c>
      <c r="H1" s="4" t="s">
        <v>1333</v>
      </c>
      <c r="I1" s="4" t="s">
        <v>1334</v>
      </c>
      <c r="J1" s="4" t="s">
        <v>1335</v>
      </c>
      <c r="K1" s="4" t="s">
        <v>1336</v>
      </c>
      <c r="L1" s="4" t="s">
        <v>1337</v>
      </c>
      <c r="M1" s="4" t="s">
        <v>1338</v>
      </c>
      <c r="N1" s="4" t="s">
        <v>31</v>
      </c>
    </row>
    <row r="2" customFormat="false" ht="63.75" hidden="false" customHeight="true" outlineLevel="0" collapsed="false">
      <c r="A2" s="7"/>
      <c r="B2" s="7" t="s">
        <v>1339</v>
      </c>
      <c r="C2" s="7" t="s">
        <v>1340</v>
      </c>
      <c r="D2" s="7"/>
      <c r="E2" s="7"/>
      <c r="F2" s="7"/>
      <c r="G2" s="7"/>
      <c r="H2" s="7"/>
      <c r="I2" s="7"/>
      <c r="J2" s="7"/>
      <c r="K2" s="7"/>
      <c r="L2" s="7"/>
      <c r="M2" s="7" t="s">
        <v>336</v>
      </c>
      <c r="N2" s="7"/>
    </row>
    <row r="3" customFormat="false" ht="48" hidden="false" customHeight="true" outlineLevel="0" collapsed="false">
      <c r="A3" s="10" t="s">
        <v>1341</v>
      </c>
      <c r="B3" s="10" t="s">
        <v>77</v>
      </c>
      <c r="C3" s="10" t="s">
        <v>1342</v>
      </c>
      <c r="D3" s="10" t="s">
        <v>1342</v>
      </c>
      <c r="E3" s="10" t="s">
        <v>1342</v>
      </c>
      <c r="F3" s="10" t="s">
        <v>1342</v>
      </c>
      <c r="G3" s="10" t="s">
        <v>1343</v>
      </c>
      <c r="H3" s="10" t="s">
        <v>1343</v>
      </c>
      <c r="I3" s="10" t="s">
        <v>1343</v>
      </c>
      <c r="J3" s="10" t="s">
        <v>1343</v>
      </c>
      <c r="K3" s="10" t="s">
        <v>1343</v>
      </c>
      <c r="L3" s="10" t="s">
        <v>1343</v>
      </c>
      <c r="M3" s="11" t="n">
        <f aca="false">IF(A3="","",COUNTIF(C3:L3,"partial")+COUNTIF(C3:L3,"missing"))</f>
        <v>6</v>
      </c>
      <c r="N3" s="10" t="s">
        <v>1344</v>
      </c>
    </row>
    <row r="4" customFormat="false" ht="15" hidden="false" customHeight="false" outlineLevel="0" collapsed="false">
      <c r="A4" s="11" t="s">
        <v>1345</v>
      </c>
      <c r="B4" s="11" t="s">
        <v>77</v>
      </c>
      <c r="C4" s="11" t="s">
        <v>1342</v>
      </c>
      <c r="D4" s="11" t="s">
        <v>1342</v>
      </c>
      <c r="E4" s="11" t="s">
        <v>1342</v>
      </c>
      <c r="F4" s="11" t="s">
        <v>1342</v>
      </c>
      <c r="G4" s="11" t="s">
        <v>1342</v>
      </c>
      <c r="H4" s="11" t="s">
        <v>1346</v>
      </c>
      <c r="I4" s="11" t="s">
        <v>1343</v>
      </c>
      <c r="J4" s="11" t="s">
        <v>1343</v>
      </c>
      <c r="K4" s="11" t="s">
        <v>1343</v>
      </c>
      <c r="L4" s="11" t="s">
        <v>1343</v>
      </c>
      <c r="M4" s="11" t="n">
        <f aca="false">IF(A4="","",COUNTIF(C4:L4,"partial")+COUNTIF(C4:L4,"missing"))</f>
        <v>5</v>
      </c>
      <c r="N4" s="11" t="s">
        <v>1347</v>
      </c>
    </row>
    <row r="5" customFormat="false" ht="15" hidden="false" customHeight="false" outlineLevel="0" collapsed="false">
      <c r="A5" s="11" t="s">
        <v>1348</v>
      </c>
      <c r="B5" s="11" t="s">
        <v>77</v>
      </c>
      <c r="C5" s="11" t="s">
        <v>1342</v>
      </c>
      <c r="D5" s="11" t="s">
        <v>1342</v>
      </c>
      <c r="E5" s="11" t="s">
        <v>1342</v>
      </c>
      <c r="F5" s="11" t="s">
        <v>1342</v>
      </c>
      <c r="G5" s="11" t="s">
        <v>1342</v>
      </c>
      <c r="H5" s="11" t="s">
        <v>1342</v>
      </c>
      <c r="I5" s="11" t="s">
        <v>1343</v>
      </c>
      <c r="J5" s="11" t="s">
        <v>1343</v>
      </c>
      <c r="K5" s="11" t="s">
        <v>1343</v>
      </c>
      <c r="L5" s="11" t="s">
        <v>1343</v>
      </c>
      <c r="M5" s="11" t="n">
        <f aca="false">IF(A5="","",COUNTIF(C5:L5,"partial")+COUNTIF(C5:L5,"missing"))</f>
        <v>4</v>
      </c>
      <c r="N5" s="12"/>
    </row>
    <row r="6" customFormat="false" ht="15" hidden="false" customHeight="false" outlineLevel="0" collapsed="false">
      <c r="A6" s="11" t="s">
        <v>1349</v>
      </c>
      <c r="B6" s="11" t="s">
        <v>77</v>
      </c>
      <c r="C6" s="11" t="s">
        <v>1342</v>
      </c>
      <c r="D6" s="11" t="s">
        <v>1342</v>
      </c>
      <c r="E6" s="11" t="s">
        <v>1342</v>
      </c>
      <c r="F6" s="11" t="s">
        <v>1342</v>
      </c>
      <c r="G6" s="11" t="s">
        <v>1343</v>
      </c>
      <c r="H6" s="11" t="s">
        <v>1343</v>
      </c>
      <c r="I6" s="11" t="s">
        <v>1343</v>
      </c>
      <c r="J6" s="11" t="s">
        <v>1343</v>
      </c>
      <c r="K6" s="11" t="s">
        <v>1343</v>
      </c>
      <c r="L6" s="11" t="s">
        <v>1343</v>
      </c>
      <c r="M6" s="11" t="n">
        <f aca="false">IF(A6="","",COUNTIF(C6:L6,"partial")+COUNTIF(C6:L6,"missing"))</f>
        <v>6</v>
      </c>
      <c r="N6" s="11" t="s">
        <v>1350</v>
      </c>
    </row>
    <row r="7" customFormat="false" ht="15" hidden="false" customHeight="false" outlineLevel="0" collapsed="false">
      <c r="A7" s="11" t="s">
        <v>1351</v>
      </c>
      <c r="B7" s="11" t="s">
        <v>77</v>
      </c>
      <c r="C7" s="11" t="s">
        <v>1342</v>
      </c>
      <c r="D7" s="11" t="s">
        <v>1342</v>
      </c>
      <c r="E7" s="11" t="s">
        <v>1342</v>
      </c>
      <c r="F7" s="11" t="s">
        <v>1342</v>
      </c>
      <c r="G7" s="11" t="s">
        <v>1343</v>
      </c>
      <c r="H7" s="11" t="s">
        <v>1343</v>
      </c>
      <c r="I7" s="11" t="s">
        <v>1343</v>
      </c>
      <c r="J7" s="11" t="s">
        <v>1343</v>
      </c>
      <c r="K7" s="11" t="s">
        <v>1343</v>
      </c>
      <c r="L7" s="11" t="s">
        <v>1343</v>
      </c>
      <c r="M7" s="11" t="n">
        <f aca="false">IF(A7="","",COUNTIF(C7:L7,"partial")+COUNTIF(C7:L7,"missing"))</f>
        <v>6</v>
      </c>
      <c r="N7" s="12"/>
    </row>
    <row r="8" customFormat="false" ht="15" hidden="false" customHeight="false" outlineLevel="0" collapsed="false">
      <c r="A8" s="11" t="s">
        <v>1352</v>
      </c>
      <c r="B8" s="11" t="s">
        <v>77</v>
      </c>
      <c r="C8" s="11" t="s">
        <v>1342</v>
      </c>
      <c r="D8" s="11" t="s">
        <v>1342</v>
      </c>
      <c r="E8" s="11" t="s">
        <v>1342</v>
      </c>
      <c r="F8" s="11" t="s">
        <v>1342</v>
      </c>
      <c r="G8" s="11" t="s">
        <v>1343</v>
      </c>
      <c r="H8" s="11" t="s">
        <v>1343</v>
      </c>
      <c r="I8" s="11" t="s">
        <v>1343</v>
      </c>
      <c r="J8" s="11" t="s">
        <v>1343</v>
      </c>
      <c r="K8" s="11" t="s">
        <v>1343</v>
      </c>
      <c r="L8" s="11" t="s">
        <v>1343</v>
      </c>
      <c r="M8" s="11" t="n">
        <f aca="false">IF(A8="","",COUNTIF(C8:L8,"partial")+COUNTIF(C8:L8,"missing"))</f>
        <v>6</v>
      </c>
      <c r="N8" s="12"/>
    </row>
    <row r="9" customFormat="false" ht="15" hidden="false" customHeight="false" outlineLevel="0" collapsed="false">
      <c r="A9" s="11" t="s">
        <v>1353</v>
      </c>
      <c r="B9" s="11" t="s">
        <v>77</v>
      </c>
      <c r="C9" s="11" t="s">
        <v>1342</v>
      </c>
      <c r="D9" s="11" t="s">
        <v>1342</v>
      </c>
      <c r="E9" s="11" t="s">
        <v>1342</v>
      </c>
      <c r="F9" s="11" t="s">
        <v>1342</v>
      </c>
      <c r="G9" s="11" t="s">
        <v>1342</v>
      </c>
      <c r="H9" s="11" t="s">
        <v>1342</v>
      </c>
      <c r="I9" s="11" t="s">
        <v>1342</v>
      </c>
      <c r="J9" s="11" t="s">
        <v>1342</v>
      </c>
      <c r="K9" s="11" t="s">
        <v>1342</v>
      </c>
      <c r="L9" s="11" t="s">
        <v>1342</v>
      </c>
      <c r="M9" s="11" t="n">
        <f aca="false">IF(A9="","",COUNTIF(C9:L9,"partial")+COUNTIF(C9:L9,"missing"))</f>
        <v>0</v>
      </c>
      <c r="N9" s="12"/>
    </row>
    <row r="10" customFormat="false" ht="15" hidden="false" customHeight="false" outlineLevel="0" collapsed="false">
      <c r="A10" s="11" t="s">
        <v>1354</v>
      </c>
      <c r="B10" s="11" t="s">
        <v>77</v>
      </c>
      <c r="C10" s="11" t="s">
        <v>1342</v>
      </c>
      <c r="D10" s="11" t="s">
        <v>1342</v>
      </c>
      <c r="E10" s="11" t="s">
        <v>1342</v>
      </c>
      <c r="F10" s="11" t="s">
        <v>1342</v>
      </c>
      <c r="G10" s="11" t="s">
        <v>1343</v>
      </c>
      <c r="H10" s="11" t="s">
        <v>1343</v>
      </c>
      <c r="I10" s="11" t="s">
        <v>1343</v>
      </c>
      <c r="J10" s="11" t="s">
        <v>1343</v>
      </c>
      <c r="K10" s="11" t="s">
        <v>1343</v>
      </c>
      <c r="L10" s="11" t="s">
        <v>1343</v>
      </c>
      <c r="M10" s="11" t="n">
        <f aca="false">IF(A10="","",COUNTIF(C10:L10,"partial")+COUNTIF(C10:L10,"missing"))</f>
        <v>6</v>
      </c>
      <c r="N10" s="11" t="s">
        <v>1355</v>
      </c>
    </row>
    <row r="11" customFormat="false" ht="15" hidden="false" customHeight="false" outlineLevel="0" collapsed="false">
      <c r="A11" s="11" t="s">
        <v>1356</v>
      </c>
      <c r="B11" s="11" t="s">
        <v>77</v>
      </c>
      <c r="C11" s="11" t="s">
        <v>1342</v>
      </c>
      <c r="D11" s="11" t="s">
        <v>1342</v>
      </c>
      <c r="E11" s="11" t="s">
        <v>1342</v>
      </c>
      <c r="F11" s="11" t="s">
        <v>1342</v>
      </c>
      <c r="G11" s="11" t="s">
        <v>1343</v>
      </c>
      <c r="H11" s="11" t="s">
        <v>1343</v>
      </c>
      <c r="I11" s="11" t="s">
        <v>1343</v>
      </c>
      <c r="J11" s="11" t="s">
        <v>1343</v>
      </c>
      <c r="K11" s="11" t="s">
        <v>1343</v>
      </c>
      <c r="L11" s="11" t="s">
        <v>1343</v>
      </c>
      <c r="M11" s="11" t="n">
        <f aca="false">IF(A11="","",COUNTIF(C11:L11,"partial")+COUNTIF(C11:L11,"missing"))</f>
        <v>6</v>
      </c>
      <c r="N11" s="12"/>
    </row>
    <row r="12" customFormat="false" ht="15" hidden="false" customHeight="false" outlineLevel="0" collapsed="false">
      <c r="A12" s="11" t="s">
        <v>1341</v>
      </c>
      <c r="B12" s="11" t="s">
        <v>77</v>
      </c>
      <c r="C12" s="11" t="s">
        <v>1342</v>
      </c>
      <c r="D12" s="11" t="s">
        <v>1342</v>
      </c>
      <c r="E12" s="11" t="s">
        <v>1342</v>
      </c>
      <c r="F12" s="11" t="s">
        <v>1342</v>
      </c>
      <c r="G12" s="11" t="s">
        <v>1343</v>
      </c>
      <c r="H12" s="11" t="s">
        <v>1343</v>
      </c>
      <c r="I12" s="11" t="s">
        <v>1343</v>
      </c>
      <c r="J12" s="11" t="s">
        <v>1343</v>
      </c>
      <c r="K12" s="11" t="s">
        <v>1343</v>
      </c>
      <c r="L12" s="11" t="s">
        <v>1343</v>
      </c>
      <c r="M12" s="11" t="n">
        <f aca="false">IF(A12="","",COUNTIF(C12:L12,"partial")+COUNTIF(C12:L12,"missing"))</f>
        <v>6</v>
      </c>
      <c r="N12" s="11" t="s">
        <v>1357</v>
      </c>
    </row>
    <row r="13" customFormat="false" ht="15" hidden="false" customHeight="false" outlineLevel="0" collapsed="false">
      <c r="A13" s="11" t="s">
        <v>1358</v>
      </c>
      <c r="B13" s="11" t="s">
        <v>77</v>
      </c>
      <c r="C13" s="11" t="s">
        <v>1342</v>
      </c>
      <c r="D13" s="11" t="s">
        <v>1342</v>
      </c>
      <c r="E13" s="11" t="s">
        <v>1342</v>
      </c>
      <c r="F13" s="11" t="s">
        <v>1342</v>
      </c>
      <c r="G13" s="11" t="s">
        <v>1342</v>
      </c>
      <c r="H13" s="11" t="s">
        <v>1342</v>
      </c>
      <c r="I13" s="11" t="s">
        <v>1342</v>
      </c>
      <c r="J13" s="11" t="s">
        <v>1342</v>
      </c>
      <c r="K13" s="11" t="s">
        <v>1342</v>
      </c>
      <c r="L13" s="11" t="s">
        <v>1342</v>
      </c>
      <c r="M13" s="11" t="n">
        <f aca="false">IF(A13="","",COUNTIF(C13:L13,"partial")+COUNTIF(C13:L13,"missing"))</f>
        <v>0</v>
      </c>
      <c r="N13" s="12"/>
    </row>
    <row r="14" customFormat="false" ht="15" hidden="false" customHeight="false" outlineLevel="0" collapsed="false">
      <c r="A14" s="11" t="s">
        <v>1359</v>
      </c>
      <c r="B14" s="11" t="s">
        <v>77</v>
      </c>
      <c r="C14" s="11" t="s">
        <v>1342</v>
      </c>
      <c r="D14" s="11" t="s">
        <v>1342</v>
      </c>
      <c r="E14" s="11" t="s">
        <v>1342</v>
      </c>
      <c r="F14" s="11" t="s">
        <v>1342</v>
      </c>
      <c r="G14" s="11" t="s">
        <v>1342</v>
      </c>
      <c r="H14" s="11" t="s">
        <v>1342</v>
      </c>
      <c r="I14" s="11" t="s">
        <v>1342</v>
      </c>
      <c r="J14" s="11" t="s">
        <v>1342</v>
      </c>
      <c r="K14" s="11" t="s">
        <v>1342</v>
      </c>
      <c r="L14" s="11" t="s">
        <v>1342</v>
      </c>
      <c r="M14" s="11" t="n">
        <f aca="false">IF(A14="","",COUNTIF(C14:L14,"partial")+COUNTIF(C14:L14,"missing"))</f>
        <v>0</v>
      </c>
      <c r="N14" s="12"/>
    </row>
    <row r="15" customFormat="false" ht="15" hidden="false" customHeight="false" outlineLevel="0" collapsed="false">
      <c r="A15" s="11" t="s">
        <v>1360</v>
      </c>
      <c r="B15" s="11" t="s">
        <v>77</v>
      </c>
      <c r="C15" s="11" t="s">
        <v>1342</v>
      </c>
      <c r="D15" s="11" t="s">
        <v>1342</v>
      </c>
      <c r="E15" s="11" t="s">
        <v>1342</v>
      </c>
      <c r="F15" s="11" t="s">
        <v>1342</v>
      </c>
      <c r="G15" s="11" t="s">
        <v>1342</v>
      </c>
      <c r="H15" s="11" t="s">
        <v>1342</v>
      </c>
      <c r="I15" s="11" t="s">
        <v>1342</v>
      </c>
      <c r="J15" s="11" t="s">
        <v>1342</v>
      </c>
      <c r="K15" s="11" t="s">
        <v>1342</v>
      </c>
      <c r="L15" s="11" t="s">
        <v>1342</v>
      </c>
      <c r="M15" s="11" t="n">
        <f aca="false">IF(A15="","",COUNTIF(C15:L15,"partial")+COUNTIF(C15:L15,"missing"))</f>
        <v>0</v>
      </c>
      <c r="N15" s="12"/>
    </row>
    <row r="16" customFormat="false" ht="15" hidden="false" customHeight="false" outlineLevel="0" collapsed="false">
      <c r="A16" s="11" t="s">
        <v>1361</v>
      </c>
      <c r="B16" s="11" t="s">
        <v>77</v>
      </c>
      <c r="C16" s="11" t="s">
        <v>1342</v>
      </c>
      <c r="D16" s="11" t="s">
        <v>1343</v>
      </c>
      <c r="E16" s="11" t="s">
        <v>1343</v>
      </c>
      <c r="F16" s="11" t="s">
        <v>1343</v>
      </c>
      <c r="G16" s="11" t="s">
        <v>1342</v>
      </c>
      <c r="H16" s="11" t="s">
        <v>1342</v>
      </c>
      <c r="I16" s="11" t="s">
        <v>1343</v>
      </c>
      <c r="J16" s="11" t="s">
        <v>1343</v>
      </c>
      <c r="K16" s="11" t="s">
        <v>1343</v>
      </c>
      <c r="L16" s="11" t="s">
        <v>1343</v>
      </c>
      <c r="M16" s="11" t="n">
        <f aca="false">IF(A16="","",COUNTIF(C16:L16,"partial")+COUNTIF(C16:L16,"missing"))</f>
        <v>7</v>
      </c>
      <c r="N16" s="11" t="s">
        <v>1362</v>
      </c>
    </row>
    <row r="17" customFormat="false" ht="15" hidden="false" customHeight="false" outlineLevel="0" collapsed="false">
      <c r="A17" s="11" t="s">
        <v>1363</v>
      </c>
      <c r="B17" s="11" t="s">
        <v>77</v>
      </c>
      <c r="C17" s="11" t="s">
        <v>1342</v>
      </c>
      <c r="D17" s="11" t="s">
        <v>1342</v>
      </c>
      <c r="E17" s="11" t="s">
        <v>1342</v>
      </c>
      <c r="F17" s="11" t="s">
        <v>1342</v>
      </c>
      <c r="G17" s="11" t="s">
        <v>1342</v>
      </c>
      <c r="H17" s="11" t="s">
        <v>1342</v>
      </c>
      <c r="I17" s="11" t="s">
        <v>1343</v>
      </c>
      <c r="J17" s="11" t="s">
        <v>1343</v>
      </c>
      <c r="K17" s="11" t="s">
        <v>1343</v>
      </c>
      <c r="L17" s="11" t="s">
        <v>1343</v>
      </c>
      <c r="M17" s="11" t="n">
        <f aca="false">IF(A17="","",COUNTIF(C17:L17,"partial")+COUNTIF(C17:L17,"missing"))</f>
        <v>4</v>
      </c>
      <c r="N17" s="11" t="s">
        <v>1364</v>
      </c>
    </row>
    <row r="18" customFormat="false" ht="15" hidden="false" customHeight="false" outlineLevel="0" collapsed="false">
      <c r="A18" s="11" t="s">
        <v>1365</v>
      </c>
      <c r="B18" s="11" t="s">
        <v>77</v>
      </c>
      <c r="C18" s="11" t="s">
        <v>1342</v>
      </c>
      <c r="D18" s="11" t="s">
        <v>1342</v>
      </c>
      <c r="E18" s="11" t="s">
        <v>1342</v>
      </c>
      <c r="F18" s="11" t="s">
        <v>1342</v>
      </c>
      <c r="G18" s="11" t="s">
        <v>1342</v>
      </c>
      <c r="H18" s="11" t="s">
        <v>1342</v>
      </c>
      <c r="I18" s="11" t="s">
        <v>1343</v>
      </c>
      <c r="J18" s="11" t="s">
        <v>1343</v>
      </c>
      <c r="K18" s="11" t="s">
        <v>1343</v>
      </c>
      <c r="L18" s="11" t="s">
        <v>1343</v>
      </c>
      <c r="M18" s="11" t="n">
        <f aca="false">IF(A18="","",COUNTIF(C18:L18,"partial")+COUNTIF(C18:L18,"missing"))</f>
        <v>4</v>
      </c>
      <c r="N18" s="11" t="s">
        <v>1366</v>
      </c>
    </row>
    <row r="19" customFormat="false" ht="15" hidden="false" customHeight="false" outlineLevel="0" collapsed="false">
      <c r="A19" s="11" t="s">
        <v>1367</v>
      </c>
      <c r="B19" s="11" t="s">
        <v>77</v>
      </c>
      <c r="C19" s="11" t="s">
        <v>1342</v>
      </c>
      <c r="D19" s="11" t="s">
        <v>1342</v>
      </c>
      <c r="E19" s="11" t="s">
        <v>1342</v>
      </c>
      <c r="F19" s="11" t="s">
        <v>1342</v>
      </c>
      <c r="G19" s="11" t="s">
        <v>1342</v>
      </c>
      <c r="H19" s="11" t="s">
        <v>1342</v>
      </c>
      <c r="I19" s="11" t="s">
        <v>1342</v>
      </c>
      <c r="J19" s="11" t="s">
        <v>1342</v>
      </c>
      <c r="K19" s="11" t="s">
        <v>1342</v>
      </c>
      <c r="L19" s="11" t="s">
        <v>1342</v>
      </c>
      <c r="M19" s="11" t="n">
        <f aca="false">IF(A19="","",COUNTIF(C19:L19,"partial")+COUNTIF(C19:L19,"missing"))</f>
        <v>0</v>
      </c>
      <c r="N19" s="12"/>
    </row>
    <row r="20" customFormat="false" ht="15" hidden="false" customHeight="false" outlineLevel="0" collapsed="false">
      <c r="A20" s="11" t="s">
        <v>1368</v>
      </c>
      <c r="B20" s="11" t="s">
        <v>77</v>
      </c>
      <c r="C20" s="11" t="s">
        <v>1342</v>
      </c>
      <c r="D20" s="11" t="s">
        <v>1342</v>
      </c>
      <c r="E20" s="11" t="s">
        <v>1342</v>
      </c>
      <c r="F20" s="11" t="s">
        <v>1342</v>
      </c>
      <c r="G20" s="11" t="s">
        <v>1342</v>
      </c>
      <c r="H20" s="11" t="s">
        <v>1342</v>
      </c>
      <c r="I20" s="11" t="s">
        <v>1342</v>
      </c>
      <c r="J20" s="11" t="s">
        <v>1342</v>
      </c>
      <c r="K20" s="11" t="s">
        <v>1342</v>
      </c>
      <c r="L20" s="11" t="s">
        <v>1342</v>
      </c>
      <c r="M20" s="11" t="n">
        <f aca="false">IF(A20="","",COUNTIF(C20:L20,"partial")+COUNTIF(C20:L20,"missing"))</f>
        <v>0</v>
      </c>
      <c r="N20" s="12"/>
    </row>
    <row r="21" customFormat="false" ht="15" hidden="false" customHeight="false" outlineLevel="0" collapsed="false">
      <c r="A21" s="11" t="s">
        <v>1369</v>
      </c>
      <c r="B21" s="11" t="s">
        <v>77</v>
      </c>
      <c r="C21" s="11" t="s">
        <v>1342</v>
      </c>
      <c r="D21" s="11" t="s">
        <v>1342</v>
      </c>
      <c r="E21" s="11" t="s">
        <v>1342</v>
      </c>
      <c r="F21" s="11" t="s">
        <v>1342</v>
      </c>
      <c r="G21" s="11" t="s">
        <v>1343</v>
      </c>
      <c r="H21" s="11" t="s">
        <v>1343</v>
      </c>
      <c r="I21" s="11" t="s">
        <v>1343</v>
      </c>
      <c r="J21" s="11" t="s">
        <v>1343</v>
      </c>
      <c r="K21" s="11" t="s">
        <v>1343</v>
      </c>
      <c r="L21" s="11" t="s">
        <v>1343</v>
      </c>
      <c r="M21" s="11" t="n">
        <f aca="false">IF(A21="","",COUNTIF(C21:L21,"partial")+COUNTIF(C21:L21,"missing"))</f>
        <v>6</v>
      </c>
      <c r="N21" s="11" t="s">
        <v>1370</v>
      </c>
    </row>
    <row r="22" customFormat="false" ht="15" hidden="false" customHeight="false" outlineLevel="0" collapsed="false">
      <c r="A22" s="12"/>
      <c r="B22" s="12"/>
      <c r="C22" s="12"/>
      <c r="D22" s="12"/>
      <c r="E22" s="12"/>
      <c r="F22" s="12"/>
      <c r="G22" s="12"/>
      <c r="H22" s="12"/>
      <c r="I22" s="12"/>
      <c r="J22" s="12"/>
      <c r="K22" s="12"/>
      <c r="L22" s="12"/>
      <c r="M22" s="11" t="str">
        <f aca="false">IF(A22="","",COUNTIF(C22:L22,"partial")+COUNTIF(C22:L22,"missing"))</f>
        <v/>
      </c>
      <c r="N22" s="12"/>
    </row>
    <row r="23" customFormat="false" ht="15" hidden="false" customHeight="false" outlineLevel="0" collapsed="false">
      <c r="A23" s="12"/>
      <c r="B23" s="12"/>
      <c r="C23" s="12"/>
      <c r="D23" s="12"/>
      <c r="E23" s="12"/>
      <c r="F23" s="12"/>
      <c r="G23" s="12"/>
      <c r="H23" s="12"/>
      <c r="I23" s="12"/>
      <c r="J23" s="12"/>
      <c r="K23" s="12"/>
      <c r="L23" s="12"/>
      <c r="M23" s="11" t="str">
        <f aca="false">IF(A23="","",COUNTIF(C23:L23,"partial")+COUNTIF(C23:L23,"missing"))</f>
        <v/>
      </c>
      <c r="N23" s="12"/>
    </row>
    <row r="24" customFormat="false" ht="15" hidden="false" customHeight="false" outlineLevel="0" collapsed="false">
      <c r="A24" s="12"/>
      <c r="B24" s="12"/>
      <c r="C24" s="12"/>
      <c r="D24" s="12"/>
      <c r="E24" s="12"/>
      <c r="F24" s="12"/>
      <c r="G24" s="12"/>
      <c r="H24" s="12"/>
      <c r="I24" s="12"/>
      <c r="J24" s="12"/>
      <c r="K24" s="12"/>
      <c r="L24" s="12"/>
      <c r="M24" s="11" t="str">
        <f aca="false">IF(A24="","",COUNTIF(C24:L24,"partial")+COUNTIF(C24:L24,"missing"))</f>
        <v/>
      </c>
      <c r="N24" s="12"/>
    </row>
    <row r="25" customFormat="false" ht="15" hidden="false" customHeight="false" outlineLevel="0" collapsed="false">
      <c r="A25" s="12"/>
      <c r="B25" s="12"/>
      <c r="C25" s="12"/>
      <c r="D25" s="12"/>
      <c r="E25" s="12"/>
      <c r="F25" s="12"/>
      <c r="G25" s="12"/>
      <c r="H25" s="12"/>
      <c r="I25" s="12"/>
      <c r="J25" s="12"/>
      <c r="K25" s="12"/>
      <c r="L25" s="12"/>
      <c r="M25" s="11" t="str">
        <f aca="false">IF(A25="","",COUNTIF(C25:L25,"partial")+COUNTIF(C25:L25,"missing"))</f>
        <v/>
      </c>
      <c r="N25" s="12"/>
    </row>
    <row r="26" customFormat="false" ht="15" hidden="false" customHeight="false" outlineLevel="0" collapsed="false">
      <c r="A26" s="12"/>
      <c r="B26" s="12"/>
      <c r="C26" s="12"/>
      <c r="D26" s="12"/>
      <c r="E26" s="12"/>
      <c r="F26" s="12"/>
      <c r="G26" s="12"/>
      <c r="H26" s="12"/>
      <c r="I26" s="12"/>
      <c r="J26" s="12"/>
      <c r="K26" s="12"/>
      <c r="L26" s="12"/>
      <c r="M26" s="11" t="str">
        <f aca="false">IF(A26="","",COUNTIF(C26:L26,"partial")+COUNTIF(C26:L26,"missing"))</f>
        <v/>
      </c>
      <c r="N26" s="12"/>
    </row>
    <row r="27" customFormat="false" ht="15" hidden="false" customHeight="false" outlineLevel="0" collapsed="false">
      <c r="A27" s="12"/>
      <c r="B27" s="12"/>
      <c r="C27" s="12"/>
      <c r="D27" s="12"/>
      <c r="E27" s="12"/>
      <c r="F27" s="12"/>
      <c r="G27" s="12"/>
      <c r="H27" s="12"/>
      <c r="I27" s="12"/>
      <c r="J27" s="12"/>
      <c r="K27" s="12"/>
      <c r="L27" s="12"/>
      <c r="M27" s="11" t="str">
        <f aca="false">IF(A27="","",COUNTIF(C27:L27,"partial")+COUNTIF(C27:L27,"missing"))</f>
        <v/>
      </c>
      <c r="N27" s="12"/>
    </row>
    <row r="28" customFormat="false" ht="15" hidden="false" customHeight="false" outlineLevel="0" collapsed="false">
      <c r="A28" s="12"/>
      <c r="B28" s="12"/>
      <c r="C28" s="12"/>
      <c r="D28" s="12"/>
      <c r="E28" s="12"/>
      <c r="F28" s="12"/>
      <c r="G28" s="12"/>
      <c r="H28" s="12"/>
      <c r="I28" s="12"/>
      <c r="J28" s="12"/>
      <c r="K28" s="12"/>
      <c r="L28" s="12"/>
      <c r="M28" s="11" t="str">
        <f aca="false">IF(A28="","",COUNTIF(C28:L28,"partial")+COUNTIF(C28:L28,"missing"))</f>
        <v/>
      </c>
      <c r="N28" s="12"/>
    </row>
    <row r="29" customFormat="false" ht="15" hidden="false" customHeight="false" outlineLevel="0" collapsed="false">
      <c r="A29" s="12"/>
      <c r="B29" s="12"/>
      <c r="C29" s="12"/>
      <c r="D29" s="12"/>
      <c r="E29" s="12"/>
      <c r="F29" s="12"/>
      <c r="G29" s="12"/>
      <c r="H29" s="12"/>
      <c r="I29" s="12"/>
      <c r="J29" s="12"/>
      <c r="K29" s="12"/>
      <c r="L29" s="12"/>
      <c r="M29" s="11" t="str">
        <f aca="false">IF(A29="","",COUNTIF(C29:L29,"partial")+COUNTIF(C29:L29,"missing"))</f>
        <v/>
      </c>
      <c r="N29" s="12"/>
    </row>
    <row r="30" customFormat="false" ht="15" hidden="false" customHeight="false" outlineLevel="0" collapsed="false">
      <c r="A30" s="12"/>
      <c r="B30" s="12"/>
      <c r="C30" s="12"/>
      <c r="D30" s="12"/>
      <c r="E30" s="12"/>
      <c r="F30" s="12"/>
      <c r="G30" s="12"/>
      <c r="H30" s="12"/>
      <c r="I30" s="12"/>
      <c r="J30" s="12"/>
      <c r="K30" s="12"/>
      <c r="L30" s="12"/>
      <c r="M30" s="11" t="str">
        <f aca="false">IF(A30="","",COUNTIF(C30:L30,"partial")+COUNTIF(C30:L30,"missing"))</f>
        <v/>
      </c>
      <c r="N30" s="12"/>
    </row>
    <row r="31" customFormat="false" ht="15" hidden="false" customHeight="false" outlineLevel="0" collapsed="false">
      <c r="A31" s="12"/>
      <c r="B31" s="12"/>
      <c r="C31" s="12"/>
      <c r="D31" s="12"/>
      <c r="E31" s="12"/>
      <c r="F31" s="12"/>
      <c r="G31" s="12"/>
      <c r="H31" s="12"/>
      <c r="I31" s="12"/>
      <c r="J31" s="12"/>
      <c r="K31" s="12"/>
      <c r="L31" s="12"/>
      <c r="M31" s="11" t="str">
        <f aca="false">IF(A31="","",COUNTIF(C31:L31,"partial")+COUNTIF(C31:L31,"missing"))</f>
        <v/>
      </c>
      <c r="N31" s="12"/>
    </row>
    <row r="32" customFormat="false" ht="15" hidden="false" customHeight="false" outlineLevel="0" collapsed="false">
      <c r="A32" s="12"/>
      <c r="B32" s="12"/>
      <c r="C32" s="12"/>
      <c r="D32" s="12"/>
      <c r="E32" s="12"/>
      <c r="F32" s="12"/>
      <c r="G32" s="12"/>
      <c r="H32" s="12"/>
      <c r="I32" s="12"/>
      <c r="J32" s="12"/>
      <c r="K32" s="12"/>
      <c r="L32" s="12"/>
      <c r="M32" s="11" t="str">
        <f aca="false">IF(A32="","",COUNTIF(C32:L32,"partial")+COUNTIF(C32:L32,"missing"))</f>
        <v/>
      </c>
      <c r="N32" s="12"/>
    </row>
    <row r="33" customFormat="false" ht="15" hidden="false" customHeight="false" outlineLevel="0" collapsed="false">
      <c r="A33" s="12"/>
      <c r="B33" s="12"/>
      <c r="C33" s="12"/>
      <c r="D33" s="12"/>
      <c r="E33" s="12"/>
      <c r="F33" s="12"/>
      <c r="G33" s="12"/>
      <c r="H33" s="12"/>
      <c r="I33" s="12"/>
      <c r="J33" s="12"/>
      <c r="K33" s="12"/>
      <c r="L33" s="12"/>
      <c r="M33" s="11" t="str">
        <f aca="false">IF(A33="","",COUNTIF(C33:L33,"partial")+COUNTIF(C33:L33,"missing"))</f>
        <v/>
      </c>
      <c r="N33" s="12"/>
    </row>
    <row r="34" customFormat="false" ht="15" hidden="false" customHeight="false" outlineLevel="0" collapsed="false">
      <c r="A34" s="12"/>
      <c r="B34" s="12"/>
      <c r="C34" s="12"/>
      <c r="D34" s="12"/>
      <c r="E34" s="12"/>
      <c r="F34" s="12"/>
      <c r="G34" s="12"/>
      <c r="H34" s="12"/>
      <c r="I34" s="12"/>
      <c r="J34" s="12"/>
      <c r="K34" s="12"/>
      <c r="L34" s="12"/>
      <c r="M34" s="11" t="str">
        <f aca="false">IF(A34="","",COUNTIF(C34:L34,"partial")+COUNTIF(C34:L34,"missing"))</f>
        <v/>
      </c>
      <c r="N34" s="12"/>
    </row>
    <row r="35" customFormat="false" ht="15" hidden="false" customHeight="false" outlineLevel="0" collapsed="false">
      <c r="A35" s="12"/>
      <c r="B35" s="12"/>
      <c r="C35" s="12"/>
      <c r="D35" s="12"/>
      <c r="E35" s="12"/>
      <c r="F35" s="12"/>
      <c r="G35" s="12"/>
      <c r="H35" s="12"/>
      <c r="I35" s="12"/>
      <c r="J35" s="12"/>
      <c r="K35" s="12"/>
      <c r="L35" s="12"/>
      <c r="M35" s="11" t="str">
        <f aca="false">IF(A35="","",COUNTIF(C35:L35,"partial")+COUNTIF(C35:L35,"missing"))</f>
        <v/>
      </c>
      <c r="N35" s="12"/>
    </row>
    <row r="36" customFormat="false" ht="15" hidden="false" customHeight="false" outlineLevel="0" collapsed="false">
      <c r="A36" s="12"/>
      <c r="B36" s="12"/>
      <c r="C36" s="12"/>
      <c r="D36" s="12"/>
      <c r="E36" s="12"/>
      <c r="F36" s="12"/>
      <c r="G36" s="12"/>
      <c r="H36" s="12"/>
      <c r="I36" s="12"/>
      <c r="J36" s="12"/>
      <c r="K36" s="12"/>
      <c r="L36" s="12"/>
      <c r="M36" s="11" t="str">
        <f aca="false">IF(A36="","",COUNTIF(C36:L36,"partial")+COUNTIF(C36:L36,"missing"))</f>
        <v/>
      </c>
      <c r="N36" s="12"/>
    </row>
    <row r="37" customFormat="false" ht="15" hidden="false" customHeight="false" outlineLevel="0" collapsed="false">
      <c r="A37" s="12"/>
      <c r="B37" s="12"/>
      <c r="C37" s="12"/>
      <c r="D37" s="12"/>
      <c r="E37" s="12"/>
      <c r="F37" s="12"/>
      <c r="G37" s="12"/>
      <c r="H37" s="12"/>
      <c r="I37" s="12"/>
      <c r="J37" s="12"/>
      <c r="K37" s="12"/>
      <c r="L37" s="12"/>
      <c r="M37" s="11" t="str">
        <f aca="false">IF(A37="","",COUNTIF(C37:L37,"partial")+COUNTIF(C37:L37,"missing"))</f>
        <v/>
      </c>
      <c r="N37" s="12"/>
    </row>
    <row r="38" customFormat="false" ht="15" hidden="false" customHeight="false" outlineLevel="0" collapsed="false">
      <c r="A38" s="12"/>
      <c r="B38" s="12"/>
      <c r="C38" s="12"/>
      <c r="D38" s="12"/>
      <c r="E38" s="12"/>
      <c r="F38" s="12"/>
      <c r="G38" s="12"/>
      <c r="H38" s="12"/>
      <c r="I38" s="12"/>
      <c r="J38" s="12"/>
      <c r="K38" s="12"/>
      <c r="L38" s="12"/>
      <c r="M38" s="11" t="str">
        <f aca="false">IF(A38="","",COUNTIF(C38:L38,"partial")+COUNTIF(C38:L38,"missing"))</f>
        <v/>
      </c>
      <c r="N38" s="12"/>
    </row>
    <row r="39" customFormat="false" ht="15" hidden="false" customHeight="false" outlineLevel="0" collapsed="false">
      <c r="A39" s="12"/>
      <c r="B39" s="12"/>
      <c r="C39" s="12"/>
      <c r="D39" s="12"/>
      <c r="E39" s="12"/>
      <c r="F39" s="12"/>
      <c r="G39" s="12"/>
      <c r="H39" s="12"/>
      <c r="I39" s="12"/>
      <c r="J39" s="12"/>
      <c r="K39" s="12"/>
      <c r="L39" s="12"/>
      <c r="M39" s="11" t="str">
        <f aca="false">IF(A39="","",COUNTIF(C39:L39,"partial")+COUNTIF(C39:L39,"missing"))</f>
        <v/>
      </c>
      <c r="N39" s="12"/>
    </row>
    <row r="40" customFormat="false" ht="15" hidden="false" customHeight="false" outlineLevel="0" collapsed="false">
      <c r="A40" s="12"/>
      <c r="B40" s="12"/>
      <c r="C40" s="12"/>
      <c r="D40" s="12"/>
      <c r="E40" s="12"/>
      <c r="F40" s="12"/>
      <c r="G40" s="12"/>
      <c r="H40" s="12"/>
      <c r="I40" s="12"/>
      <c r="J40" s="12"/>
      <c r="K40" s="12"/>
      <c r="L40" s="12"/>
      <c r="M40" s="11" t="str">
        <f aca="false">IF(A40="","",COUNTIF(C40:L40,"partial")+COUNTIF(C40:L40,"missing"))</f>
        <v/>
      </c>
      <c r="N40" s="12"/>
    </row>
    <row r="41" customFormat="false" ht="15" hidden="false" customHeight="false" outlineLevel="0" collapsed="false">
      <c r="A41" s="12"/>
      <c r="B41" s="12"/>
      <c r="C41" s="12"/>
      <c r="D41" s="12"/>
      <c r="E41" s="12"/>
      <c r="F41" s="12"/>
      <c r="G41" s="12"/>
      <c r="H41" s="12"/>
      <c r="I41" s="12"/>
      <c r="J41" s="12"/>
      <c r="K41" s="12"/>
      <c r="L41" s="12"/>
      <c r="M41" s="11" t="str">
        <f aca="false">IF(A41="","",COUNTIF(C41:L41,"partial")+COUNTIF(C41:L41,"missing"))</f>
        <v/>
      </c>
      <c r="N41" s="12"/>
    </row>
    <row r="42" customFormat="false" ht="15" hidden="false" customHeight="false" outlineLevel="0" collapsed="false">
      <c r="A42" s="12"/>
      <c r="B42" s="12"/>
      <c r="C42" s="12"/>
      <c r="D42" s="12"/>
      <c r="E42" s="12"/>
      <c r="F42" s="12"/>
      <c r="G42" s="12"/>
      <c r="H42" s="12"/>
      <c r="I42" s="12"/>
      <c r="J42" s="12"/>
      <c r="K42" s="12"/>
      <c r="L42" s="12"/>
      <c r="M42" s="11" t="str">
        <f aca="false">IF(A42="","",COUNTIF(C42:L42,"partial")+COUNTIF(C42:L42,"missing"))</f>
        <v/>
      </c>
      <c r="N42" s="12"/>
    </row>
    <row r="43" customFormat="false" ht="15" hidden="false" customHeight="false" outlineLevel="0" collapsed="false">
      <c r="A43" s="12"/>
      <c r="B43" s="12"/>
      <c r="C43" s="12"/>
      <c r="D43" s="12"/>
      <c r="E43" s="12"/>
      <c r="F43" s="12"/>
      <c r="G43" s="12"/>
      <c r="H43" s="12"/>
      <c r="I43" s="12"/>
      <c r="J43" s="12"/>
      <c r="K43" s="12"/>
      <c r="L43" s="12"/>
      <c r="M43" s="11" t="str">
        <f aca="false">IF(A43="","",COUNTIF(C43:L43,"partial")+COUNTIF(C43:L43,"missing"))</f>
        <v/>
      </c>
      <c r="N43" s="12"/>
    </row>
    <row r="44" customFormat="false" ht="15" hidden="false" customHeight="false" outlineLevel="0" collapsed="false">
      <c r="A44" s="12"/>
      <c r="B44" s="12"/>
      <c r="C44" s="12"/>
      <c r="D44" s="12"/>
      <c r="E44" s="12"/>
      <c r="F44" s="12"/>
      <c r="G44" s="12"/>
      <c r="H44" s="12"/>
      <c r="I44" s="12"/>
      <c r="J44" s="12"/>
      <c r="K44" s="12"/>
      <c r="L44" s="12"/>
      <c r="M44" s="11" t="str">
        <f aca="false">IF(A44="","",COUNTIF(C44:L44,"partial")+COUNTIF(C44:L44,"missing"))</f>
        <v/>
      </c>
      <c r="N44" s="12"/>
    </row>
    <row r="45" customFormat="false" ht="15" hidden="false" customHeight="false" outlineLevel="0" collapsed="false">
      <c r="A45" s="12"/>
      <c r="B45" s="12"/>
      <c r="C45" s="12"/>
      <c r="D45" s="12"/>
      <c r="E45" s="12"/>
      <c r="F45" s="12"/>
      <c r="G45" s="12"/>
      <c r="H45" s="12"/>
      <c r="I45" s="12"/>
      <c r="J45" s="12"/>
      <c r="K45" s="12"/>
      <c r="L45" s="12"/>
      <c r="M45" s="11" t="str">
        <f aca="false">IF(A45="","",COUNTIF(C45:L45,"partial")+COUNTIF(C45:L45,"missing"))</f>
        <v/>
      </c>
      <c r="N45" s="12"/>
    </row>
    <row r="46" customFormat="false" ht="15" hidden="false" customHeight="false" outlineLevel="0" collapsed="false">
      <c r="A46" s="12"/>
      <c r="B46" s="12"/>
      <c r="C46" s="12"/>
      <c r="D46" s="12"/>
      <c r="E46" s="12"/>
      <c r="F46" s="12"/>
      <c r="G46" s="12"/>
      <c r="H46" s="12"/>
      <c r="I46" s="12"/>
      <c r="J46" s="12"/>
      <c r="K46" s="12"/>
      <c r="L46" s="12"/>
      <c r="M46" s="11" t="str">
        <f aca="false">IF(A46="","",COUNTIF(C46:L46,"partial")+COUNTIF(C46:L46,"missing"))</f>
        <v/>
      </c>
      <c r="N46" s="12"/>
    </row>
    <row r="47" customFormat="false" ht="15" hidden="false" customHeight="false" outlineLevel="0" collapsed="false">
      <c r="A47" s="12"/>
      <c r="B47" s="12"/>
      <c r="C47" s="12"/>
      <c r="D47" s="12"/>
      <c r="E47" s="12"/>
      <c r="F47" s="12"/>
      <c r="G47" s="12"/>
      <c r="H47" s="12"/>
      <c r="I47" s="12"/>
      <c r="J47" s="12"/>
      <c r="K47" s="12"/>
      <c r="L47" s="12"/>
      <c r="M47" s="11" t="str">
        <f aca="false">IF(A47="","",COUNTIF(C47:L47,"partial")+COUNTIF(C47:L47,"missing"))</f>
        <v/>
      </c>
      <c r="N47" s="12"/>
    </row>
    <row r="48" customFormat="false" ht="15" hidden="false" customHeight="false" outlineLevel="0" collapsed="false">
      <c r="A48" s="12"/>
      <c r="B48" s="12"/>
      <c r="C48" s="12"/>
      <c r="D48" s="12"/>
      <c r="E48" s="12"/>
      <c r="F48" s="12"/>
      <c r="G48" s="12"/>
      <c r="H48" s="12"/>
      <c r="I48" s="12"/>
      <c r="J48" s="12"/>
      <c r="K48" s="12"/>
      <c r="L48" s="12"/>
      <c r="M48" s="11" t="str">
        <f aca="false">IF(A48="","",COUNTIF(C48:L48,"partial")+COUNTIF(C48:L48,"missing"))</f>
        <v/>
      </c>
      <c r="N48" s="12"/>
    </row>
    <row r="49" customFormat="false" ht="15" hidden="false" customHeight="false" outlineLevel="0" collapsed="false">
      <c r="A49" s="12"/>
      <c r="B49" s="12"/>
      <c r="C49" s="12"/>
      <c r="D49" s="12"/>
      <c r="E49" s="12"/>
      <c r="F49" s="12"/>
      <c r="G49" s="12"/>
      <c r="H49" s="12"/>
      <c r="I49" s="12"/>
      <c r="J49" s="12"/>
      <c r="K49" s="12"/>
      <c r="L49" s="12"/>
      <c r="M49" s="11" t="str">
        <f aca="false">IF(A49="","",COUNTIF(C49:L49,"partial")+COUNTIF(C49:L49,"missing"))</f>
        <v/>
      </c>
      <c r="N49" s="12"/>
    </row>
    <row r="50" customFormat="false" ht="15" hidden="false" customHeight="false" outlineLevel="0" collapsed="false">
      <c r="A50" s="12"/>
      <c r="B50" s="12"/>
      <c r="C50" s="12"/>
      <c r="D50" s="12"/>
      <c r="E50" s="12"/>
      <c r="F50" s="12"/>
      <c r="G50" s="12"/>
      <c r="H50" s="12"/>
      <c r="I50" s="12"/>
      <c r="J50" s="12"/>
      <c r="K50" s="12"/>
      <c r="L50" s="12"/>
      <c r="M50" s="11" t="str">
        <f aca="false">IF(A50="","",COUNTIF(C50:L50,"partial")+COUNTIF(C50:L50,"missing"))</f>
        <v/>
      </c>
      <c r="N50" s="12"/>
    </row>
    <row r="51" customFormat="false" ht="15" hidden="false" customHeight="false" outlineLevel="0" collapsed="false">
      <c r="A51" s="12"/>
      <c r="B51" s="12"/>
      <c r="C51" s="12"/>
      <c r="D51" s="12"/>
      <c r="E51" s="12"/>
      <c r="F51" s="12"/>
      <c r="G51" s="12"/>
      <c r="H51" s="12"/>
      <c r="I51" s="12"/>
      <c r="J51" s="12"/>
      <c r="K51" s="12"/>
      <c r="L51" s="12"/>
      <c r="M51" s="11" t="str">
        <f aca="false">IF(A51="","",COUNTIF(C51:L51,"partial")+COUNTIF(C51:L51,"missing"))</f>
        <v/>
      </c>
      <c r="N51" s="12"/>
    </row>
    <row r="52" customFormat="false" ht="15" hidden="false" customHeight="false" outlineLevel="0" collapsed="false">
      <c r="A52" s="12"/>
      <c r="B52" s="12"/>
      <c r="C52" s="12"/>
      <c r="D52" s="12"/>
      <c r="E52" s="12"/>
      <c r="F52" s="12"/>
      <c r="G52" s="12"/>
      <c r="H52" s="12"/>
      <c r="I52" s="12"/>
      <c r="J52" s="12"/>
      <c r="K52" s="12"/>
      <c r="L52" s="12"/>
      <c r="M52" s="11" t="str">
        <f aca="false">IF(A52="","",COUNTIF(C52:L52,"partial")+COUNTIF(C52:L52,"missing"))</f>
        <v/>
      </c>
      <c r="N52" s="12"/>
    </row>
    <row r="53" customFormat="false" ht="15" hidden="false" customHeight="false" outlineLevel="0" collapsed="false">
      <c r="A53" s="12"/>
      <c r="B53" s="12"/>
      <c r="C53" s="12"/>
      <c r="D53" s="12"/>
      <c r="E53" s="12"/>
      <c r="F53" s="12"/>
      <c r="G53" s="12"/>
      <c r="H53" s="12"/>
      <c r="I53" s="12"/>
      <c r="J53" s="12"/>
      <c r="K53" s="12"/>
      <c r="L53" s="12"/>
      <c r="M53" s="11" t="str">
        <f aca="false">IF(A53="","",COUNTIF(C53:L53,"partial")+COUNTIF(C53:L53,"missing"))</f>
        <v/>
      </c>
      <c r="N53" s="12"/>
    </row>
    <row r="54" customFormat="false" ht="15" hidden="false" customHeight="false" outlineLevel="0" collapsed="false">
      <c r="A54" s="12"/>
      <c r="B54" s="12"/>
      <c r="C54" s="12"/>
      <c r="D54" s="12"/>
      <c r="E54" s="12"/>
      <c r="F54" s="12"/>
      <c r="G54" s="12"/>
      <c r="H54" s="12"/>
      <c r="I54" s="12"/>
      <c r="J54" s="12"/>
      <c r="K54" s="12"/>
      <c r="L54" s="12"/>
      <c r="M54" s="11" t="str">
        <f aca="false">IF(A54="","",COUNTIF(C54:L54,"partial")+COUNTIF(C54:L54,"missing"))</f>
        <v/>
      </c>
      <c r="N54" s="12"/>
    </row>
    <row r="55" customFormat="false" ht="15" hidden="false" customHeight="false" outlineLevel="0" collapsed="false">
      <c r="A55" s="12"/>
      <c r="B55" s="12"/>
      <c r="C55" s="12"/>
      <c r="D55" s="12"/>
      <c r="E55" s="12"/>
      <c r="F55" s="12"/>
      <c r="G55" s="12"/>
      <c r="H55" s="12"/>
      <c r="I55" s="12"/>
      <c r="J55" s="12"/>
      <c r="K55" s="12"/>
      <c r="L55" s="12"/>
      <c r="M55" s="11" t="str">
        <f aca="false">IF(A55="","",COUNTIF(C55:L55,"partial")+COUNTIF(C55:L55,"missing"))</f>
        <v/>
      </c>
      <c r="N55" s="12"/>
    </row>
    <row r="56" customFormat="false" ht="15" hidden="false" customHeight="false" outlineLevel="0" collapsed="false">
      <c r="A56" s="12"/>
      <c r="B56" s="12"/>
      <c r="C56" s="12"/>
      <c r="D56" s="12"/>
      <c r="E56" s="12"/>
      <c r="F56" s="12"/>
      <c r="G56" s="12"/>
      <c r="H56" s="12"/>
      <c r="I56" s="12"/>
      <c r="J56" s="12"/>
      <c r="K56" s="12"/>
      <c r="L56" s="12"/>
      <c r="M56" s="11" t="str">
        <f aca="false">IF(A56="","",COUNTIF(C56:L56,"partial")+COUNTIF(C56:L56,"missing"))</f>
        <v/>
      </c>
      <c r="N56" s="12"/>
    </row>
    <row r="57" customFormat="false" ht="15" hidden="false" customHeight="false" outlineLevel="0" collapsed="false">
      <c r="A57" s="12"/>
      <c r="B57" s="12"/>
      <c r="C57" s="12"/>
      <c r="D57" s="12"/>
      <c r="E57" s="12"/>
      <c r="F57" s="12"/>
      <c r="G57" s="12"/>
      <c r="H57" s="12"/>
      <c r="I57" s="12"/>
      <c r="J57" s="12"/>
      <c r="K57" s="12"/>
      <c r="L57" s="12"/>
      <c r="M57" s="11" t="str">
        <f aca="false">IF(A57="","",COUNTIF(C57:L57,"partial")+COUNTIF(C57:L57,"missing"))</f>
        <v/>
      </c>
      <c r="N57" s="12"/>
    </row>
    <row r="58" customFormat="false" ht="15" hidden="false" customHeight="false" outlineLevel="0" collapsed="false">
      <c r="A58" s="12"/>
      <c r="B58" s="12"/>
      <c r="C58" s="12"/>
      <c r="D58" s="12"/>
      <c r="E58" s="12"/>
      <c r="F58" s="12"/>
      <c r="G58" s="12"/>
      <c r="H58" s="12"/>
      <c r="I58" s="12"/>
      <c r="J58" s="12"/>
      <c r="K58" s="12"/>
      <c r="L58" s="12"/>
      <c r="M58" s="11" t="str">
        <f aca="false">IF(A58="","",COUNTIF(C58:L58,"partial")+COUNTIF(C58:L58,"missing"))</f>
        <v/>
      </c>
      <c r="N58" s="12"/>
    </row>
    <row r="59" customFormat="false" ht="15" hidden="false" customHeight="false" outlineLevel="0" collapsed="false">
      <c r="A59" s="12"/>
      <c r="B59" s="12"/>
      <c r="C59" s="12"/>
      <c r="D59" s="12"/>
      <c r="E59" s="12"/>
      <c r="F59" s="12"/>
      <c r="G59" s="12"/>
      <c r="H59" s="12"/>
      <c r="I59" s="12"/>
      <c r="J59" s="12"/>
      <c r="K59" s="12"/>
      <c r="L59" s="12"/>
      <c r="M59" s="11" t="str">
        <f aca="false">IF(A59="","",COUNTIF(C59:L59,"partial")+COUNTIF(C59:L59,"missing"))</f>
        <v/>
      </c>
      <c r="N59" s="12"/>
    </row>
    <row r="60" customFormat="false" ht="15" hidden="false" customHeight="false" outlineLevel="0" collapsed="false">
      <c r="A60" s="12"/>
      <c r="B60" s="12"/>
      <c r="C60" s="12"/>
      <c r="D60" s="12"/>
      <c r="E60" s="12"/>
      <c r="F60" s="12"/>
      <c r="G60" s="12"/>
      <c r="H60" s="12"/>
      <c r="I60" s="12"/>
      <c r="J60" s="12"/>
      <c r="K60" s="12"/>
      <c r="L60" s="12"/>
      <c r="M60" s="11" t="str">
        <f aca="false">IF(A60="","",COUNTIF(C60:L60,"partial")+COUNTIF(C60:L60,"missing"))</f>
        <v/>
      </c>
      <c r="N60" s="12"/>
    </row>
    <row r="61" customFormat="false" ht="15" hidden="false" customHeight="false" outlineLevel="0" collapsed="false">
      <c r="A61" s="12"/>
      <c r="B61" s="12"/>
      <c r="C61" s="12"/>
      <c r="D61" s="12"/>
      <c r="E61" s="12"/>
      <c r="F61" s="12"/>
      <c r="G61" s="12"/>
      <c r="H61" s="12"/>
      <c r="I61" s="12"/>
      <c r="J61" s="12"/>
      <c r="K61" s="12"/>
      <c r="L61" s="12"/>
      <c r="M61" s="11" t="str">
        <f aca="false">IF(A61="","",COUNTIF(C61:L61,"partial")+COUNTIF(C61:L61,"missing"))</f>
        <v/>
      </c>
      <c r="N61" s="12"/>
    </row>
  </sheetData>
  <autoFilter ref="A1:N61"/>
  <dataValidations count="1">
    <dataValidation allowBlank="true" error="Pick a value from the list" errorStyle="stop" errorTitle="Invalid value" operator="between" showDropDown="false" showErrorMessage="false" showInputMessage="false" sqref="C3:L61" type="list">
      <formula1>"done,partial,missing,n-a"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2026-09-06T11:58:09Z</dcterms:created>
  <dc:creator>openpyxl</dc:creator>
  <dc:description/>
  <dc:language>en-US</dc:language>
  <cp:lastModifiedBy>STRETCH - Michael Nicasens</cp:lastModifiedBy>
  <dcterms:modified xsi:type="dcterms:W3CDTF">2026-09-06T15:35:22Z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